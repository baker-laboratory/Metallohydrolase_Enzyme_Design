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13_ncr:1_{7790A908-1351-644F-9628-F81AE77B5FE2}" xr6:coauthVersionLast="47" xr6:coauthVersionMax="47" xr10:uidLastSave="{00000000-0000-0000-0000-000000000000}"/>
  <bookViews>
    <workbookView xWindow="0" yWindow="660" windowWidth="29400" windowHeight="18460" xr2:uid="{B97050AF-460E-B74F-ACAD-E0E0BD74D07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G29" i="1" s="1"/>
  <c r="E29" i="1"/>
  <c r="E28" i="1"/>
  <c r="F28" i="1" s="1"/>
  <c r="G28" i="1" s="1"/>
  <c r="E31" i="1"/>
  <c r="F31" i="1" s="1"/>
  <c r="G31" i="1" s="1"/>
  <c r="E27" i="1"/>
  <c r="F27" i="1" s="1"/>
  <c r="G27" i="1" s="1"/>
  <c r="E25" i="1"/>
  <c r="F25" i="1" s="1"/>
  <c r="G25" i="1" s="1"/>
  <c r="E23" i="1"/>
  <c r="F23" i="1" s="1"/>
  <c r="G23" i="1" s="1"/>
  <c r="E21" i="1"/>
  <c r="F21" i="1" s="1"/>
  <c r="G21" i="1" s="1"/>
  <c r="E19" i="1"/>
  <c r="F19" i="1" s="1"/>
  <c r="G19" i="1" s="1"/>
  <c r="E17" i="1"/>
  <c r="F17" i="1"/>
  <c r="G17" i="1" s="1"/>
  <c r="E11" i="1"/>
  <c r="F11" i="1"/>
  <c r="E30" i="1"/>
  <c r="F30" i="1" s="1"/>
  <c r="G30" i="1" s="1"/>
  <c r="E26" i="1"/>
  <c r="F26" i="1" s="1"/>
  <c r="G26" i="1" s="1"/>
  <c r="E24" i="1"/>
  <c r="F24" i="1" s="1"/>
  <c r="G24" i="1" s="1"/>
  <c r="E22" i="1"/>
  <c r="F22" i="1" s="1"/>
  <c r="G22" i="1" s="1"/>
  <c r="E20" i="1"/>
  <c r="F20" i="1" s="1"/>
  <c r="G20" i="1" s="1"/>
  <c r="E18" i="1"/>
  <c r="F18" i="1" s="1"/>
  <c r="G18" i="1" s="1"/>
  <c r="E16" i="1"/>
  <c r="F16" i="1" s="1"/>
  <c r="G16" i="1" s="1"/>
  <c r="H28" i="1" l="1"/>
  <c r="I28" i="1" s="1"/>
  <c r="H16" i="1"/>
  <c r="I16" i="1" s="1"/>
  <c r="H18" i="1"/>
  <c r="I18" i="1" s="1"/>
  <c r="H24" i="1"/>
  <c r="I24" i="1" s="1"/>
  <c r="H26" i="1"/>
  <c r="I26" i="1" s="1"/>
  <c r="H30" i="1"/>
  <c r="I30" i="1" s="1"/>
  <c r="H22" i="1"/>
  <c r="I22" i="1" s="1"/>
  <c r="H20" i="1"/>
  <c r="I20" i="1" s="1"/>
  <c r="E4" i="1" l="1"/>
  <c r="F4" i="1" s="1"/>
  <c r="G4" i="1" s="1"/>
  <c r="E5" i="1"/>
  <c r="F5" i="1" s="1"/>
  <c r="G5" i="1" s="1"/>
  <c r="E6" i="1"/>
  <c r="F6" i="1" s="1"/>
  <c r="G6" i="1" s="1"/>
  <c r="E7" i="1"/>
  <c r="F7" i="1" s="1"/>
  <c r="G7" i="1" s="1"/>
  <c r="E8" i="1"/>
  <c r="F8" i="1" s="1"/>
  <c r="G8" i="1" s="1"/>
  <c r="E9" i="1"/>
  <c r="F9" i="1" s="1"/>
  <c r="G9" i="1" s="1"/>
  <c r="E10" i="1"/>
  <c r="F10" i="1" s="1"/>
  <c r="G10" i="1" s="1"/>
  <c r="G11" i="1"/>
  <c r="E12" i="1"/>
  <c r="F12" i="1" s="1"/>
  <c r="G12" i="1" s="1"/>
  <c r="E13" i="1"/>
  <c r="F13" i="1" s="1"/>
  <c r="G13" i="1" s="1"/>
  <c r="E14" i="1"/>
  <c r="F14" i="1" s="1"/>
  <c r="G14" i="1" s="1"/>
  <c r="E15" i="1"/>
  <c r="F15" i="1" s="1"/>
  <c r="G15" i="1" s="1"/>
  <c r="H10" i="1" l="1"/>
  <c r="I10" i="1" s="1"/>
  <c r="H8" i="1"/>
  <c r="I8" i="1" s="1"/>
  <c r="H14" i="1"/>
  <c r="I14" i="1" s="1"/>
  <c r="H6" i="1"/>
  <c r="I6" i="1" s="1"/>
  <c r="H12" i="1"/>
  <c r="I12" i="1" s="1"/>
  <c r="H4" i="1"/>
  <c r="I4" i="1" s="1"/>
  <c r="E3" i="1"/>
  <c r="F3" i="1" s="1"/>
  <c r="G3" i="1" s="1"/>
  <c r="H2" i="1" s="1"/>
  <c r="I2" i="1" s="1"/>
  <c r="E2" i="1"/>
  <c r="F2" i="1" s="1"/>
  <c r="G2" i="1" s="1"/>
</calcChain>
</file>

<file path=xl/sharedStrings.xml><?xml version="1.0" encoding="utf-8"?>
<sst xmlns="http://schemas.openxmlformats.org/spreadsheetml/2006/main" count="417" uniqueCount="98">
  <si>
    <t>substrate band</t>
  </si>
  <si>
    <t>product band 1</t>
  </si>
  <si>
    <t>product band 2</t>
  </si>
  <si>
    <t>total</t>
  </si>
  <si>
    <t>subtrate fraction</t>
  </si>
  <si>
    <t>product fraction</t>
  </si>
  <si>
    <t>wt subtract ko</t>
  </si>
  <si>
    <t>digested fraction</t>
  </si>
  <si>
    <t>w Zn</t>
  </si>
  <si>
    <t>no Zn</t>
  </si>
  <si>
    <t>№</t>
  </si>
  <si>
    <t>Design Name</t>
  </si>
  <si>
    <t>IPDblock Length</t>
  </si>
  <si>
    <t>Design Length</t>
  </si>
  <si>
    <t>Expression Length</t>
  </si>
  <si>
    <t>Expressed Mass</t>
  </si>
  <si>
    <t>ORF Length</t>
  </si>
  <si>
    <t>Cloned Plasmid Basepairs</t>
  </si>
  <si>
    <t>Source</t>
  </si>
  <si>
    <t>SPAINVAVHV78|cis_chainA+GS15+epitope10|spainvavhv78_ori3_contig2_seed16_des_0...</t>
  </si>
  <si>
    <t>fasta</t>
  </si>
  <si>
    <t>SPAINVAVHV78|cis_chainA+GS15+epitope10|spainvavhv78_ori4_contig5_seed14_des_0...</t>
  </si>
  <si>
    <t>SPAINVAVHV78|cis_chainA+GS15+epitope10|spainvavhv78_ori5_contig5_seed14_des_0...</t>
  </si>
  <si>
    <t>SPAINVAVHV78|cis_chainA+GS15+epitope10|spainvavhv78_ori9_contig5_seed14_des_0...</t>
  </si>
  <si>
    <t>PAINVAVHVF67|cis_chainA+GS15+epitope10|painvavhvf67_ori10_contig5_seed14_des_...</t>
  </si>
  <si>
    <t>PAINVAVHVF67|cis_chainA+GS15+epitope10|painvavhvf67_ori1_contig7_seed13_des_0...</t>
  </si>
  <si>
    <t>PAINVAVHVF67|cis_chainA+GS15+epitope10|painvavhvf67_ori4_contig5_seed13_des_0...</t>
  </si>
  <si>
    <t>PAINVAVHVF67|cis_chainA+GS15+epitope10|painvavhvf67_ori7_contig2_seed15_des_0...</t>
  </si>
  <si>
    <t>PAINVAVHVF67|cis_chainA+GS15+epitope10|painvavhvf67_ori7_contig5_seed14_des_0...</t>
  </si>
  <si>
    <t>AINVAVHVFR56|cis_chainA+GS15+epitope10|ainvavhvfr56_ori5_contig5_seed14_des_0...</t>
  </si>
  <si>
    <t>GGAVVTGVTA78|cis_chainA+GS15+epitope10|ggavvtgvta78_ori3_contig6_seed58_des_1...</t>
  </si>
  <si>
    <t>GAVVTGVTAV67|cis_chainA+GS15+epitope10|gavvtgvtav67_ori3_contig5_seed99_des_0...</t>
  </si>
  <si>
    <t>SPAINVAVHV78|cis_chainA+GS15+epitope10|spainvavhv78_ori4_contig5_seed14_des_0_model_0_pt13_des_4_model_0_pt6_des_1_model_0_2_phosphots_seed-1_sample-1_model_11_model_0p122|seed-1_sample-0|chainA|src=seed-1_sample-0_model_complex.pdb</t>
  </si>
  <si>
    <t>SPAINVAVHV78|cis_chainA+GS15+epitope10|spainvavhv78_ori4_contig5_seed14_des_0_model_0_pt13_des_4_model_0_pt6_des_1_model_0_2_phosphots_seed-1_sample-1_model_16_model_0p148|seed-1_sample-3|chainA|src=seed-1_sample-3_model_complex.pdb</t>
  </si>
  <si>
    <t>SPAINVAVHV78|cis_chainA+GS15+epitope10|spainvavhv78_ori4_contig5_seed14_des_0_model_0_pt13_des_4_model_0_pt6_des_1_model_0_2_phosphots_seed-1_sample-1_model_18_model_0p100|seed-1_sample-0|chainA|src=seed-1_sample-0_model_complex.pdb</t>
  </si>
  <si>
    <t>SPAINVAVHV78|cis_chainA+GS15+epitope10|spainvavhv78_ori4_contig5_seed14_des_0_model_0_pt13_des_4_model_0_pt6_des_1_model_0_2_phosphots_seed-1_sample-1_model_5_model_0p128|seed-1_sample-0|chainA|src=seed-1_sample-0_model_complex.pdb</t>
  </si>
  <si>
    <t>SPAINVAVHV78|cis_chainA+GS15+epitope10|spainvavhv78_ori4_contig5_seed14_des_0_model_0_pt13_des_4_model_0_pt6_des_1_model_0_2_phosphots_seed-1_sample-1_model_4_model_0p144|seed-1_sample-3|chainA|src=seed-1_sample-3_model_complex.pdb</t>
  </si>
  <si>
    <t>gel</t>
  </si>
  <si>
    <t>A5</t>
  </si>
  <si>
    <t>A6</t>
  </si>
  <si>
    <t>A11</t>
  </si>
  <si>
    <t>A12</t>
  </si>
  <si>
    <t>B9</t>
  </si>
  <si>
    <t>B11</t>
  </si>
  <si>
    <t>D4</t>
  </si>
  <si>
    <t>E11</t>
  </si>
  <si>
    <t>F2</t>
  </si>
  <si>
    <t>F7</t>
  </si>
  <si>
    <t>F8</t>
  </si>
  <si>
    <t>G1</t>
  </si>
  <si>
    <t>G11</t>
  </si>
  <si>
    <t>H10</t>
  </si>
  <si>
    <t>6402_5</t>
  </si>
  <si>
    <t>SPAINVAVHV78|cis_chainA+GS15+epitope10|spainvavhv78_ori4_contig5_seed14_des_0_model_0_pt13_des_4_model_0_pt6_des_1_model_0_2_phosphots_seed-1_sample-1_model_10_model_0p134|seed-1_sample-0|chainA|src=seed-1_sample-0_model_complex.pdb</t>
  </si>
  <si>
    <t>id</t>
  </si>
  <si>
    <t>design_name</t>
  </si>
  <si>
    <t>plate_location</t>
  </si>
  <si>
    <t>6402_6</t>
  </si>
  <si>
    <t>6402_11</t>
  </si>
  <si>
    <t>exp_aa_seq</t>
  </si>
  <si>
    <t>expressed_mass</t>
  </si>
  <si>
    <t>MSGPTAEEIAEEIEKYTGIPKIREEVIKAAEELRKEYSEETVTFALVHEKVHFELVPPEYIKDVKVEAKPGRLSSTITLKDEEAKEKAIENVREKVRSFGEELLPIFEKIAEKYREELEARGYDPLEFVLIEGLATYLAAKRLGKEEELKKRAEEVLNSEDPDPLEEVYYVGAYALYLADNKENMDEFIAKLGSGSGSGSGSGSGSGSGSGSGSGSGSGSGSSPAINVAVHVGSAWSHPQFEK</t>
  </si>
  <si>
    <t>MSGPTAEEIAEEIEEYTGIPKVREQVLEAARELRKRYSEEEVTFALVHEMVHFKLVPPELIKDVEVRAEPGRLSSKITLKDEEARRRAIENVVERVRSYGEEAIPYFEKIAEKYREELEARGYDPLEFVLIEGLATYEAAKRLGKLEELKKKAEEVLNSENPDPIIEVYYVGAYLLYLLDNNEPTDEFISKLGSGSGSGSGSGSGSGSGSGSGSGSGSGSGSSPAINVAVHVGSAWSHPQFEK</t>
  </si>
  <si>
    <t>MSGPTAEEIAQEIEDYTGIPKVREQMIRAAEELRKEYSDEEVTFALVHEQVHFQMVPPEYIKDVEIEAVPGALRSKITLKDEEAKEKALQNVRDRVRSFGEEALPDFERIAEKYRDVLEAEGYDPLEFVLIEGLATYEAAKRLGRLEELREEAERVLNAENPDPIIAVYYIGAYLLYLLDNKRDTSDFIAKLGSGSGSGSGSGSGSGSGSGSGSGSGSGSGSSPAINVAVHVGSAWSHPQFEK</t>
  </si>
  <si>
    <t>6402_12</t>
  </si>
  <si>
    <t>MSGMTAEEIAERMERWTGIPEVRRQMLEAAEELLKRYSREEVEFALVHELVHFELVPPEYIEDVEVRAEPGALRSTITLKDEEAREEALENVRERVRSFGEEALPIFEKIAEKYREELEARGYDPLEFVLIEGLATYLAAKRLGRLEELKEEAEKVLNSENPDPLYEVYYVGAYALYLLDNNEDISEFVAKLGSGSGSGSGSGSGSGSGSGSGSGSGSGSGSSPAINVAVHVGSAWSHPQFEK</t>
  </si>
  <si>
    <t>6402_21</t>
  </si>
  <si>
    <t>MSGPTAEEIAEEIERWTGIPEVREQVLRAAEELRRRYSEETVTFALVHELVHFQLVPPELIKDVEVRARPGRLESRITLKDEEARRRAIENVRERVRSFGEEALPIFEKIAEKYREELEARGYDPLEFVLIEGLATYLAAKRLGKEEELKEEARRVLNSENPDPIYEVYYVGAYALYLLDNKEDVSEFISKLGSGSGSGSGSGSGSGSGSGSGSGSGSGSGSSPAINVAVHVGSAWSHPQFEK</t>
  </si>
  <si>
    <t>6402_23</t>
  </si>
  <si>
    <t>MSGPTAEEIADEIEEYTGIPEIRDQVLEAARELRERYSEEEVTFALVHEQVHFQLVPPELIKDVEVRAEPGALRSTITLKDEEAKREALQNVVDRVRSYGEEALPIFERIAEKYREELEARGYDPLEFVLIEGLATYEAAKRLGKEEELYEEAKRVLDAENPDPIIEVYYVGAYALYLLDNNEDTSEFIAKLGSGSGSGSGSGSGSGSGSGSGSGSGSGSGSSPAINVAVHVGSAWSHPQFEK</t>
  </si>
  <si>
    <t>6402_40</t>
  </si>
  <si>
    <t>SPAINVAVHV78|cis_chainA+GS15+epitope10|spainvavhv78_ori9_contig5_seed14_des_0_model_0_pt11_des_2_model_0_pt3_des_5_model_2_1_phosphots_seed-1_sample-0_model_18_model_0p100|seed-1_sample-0|chainA|src=seed-1_sample-0_model_complex.pdb</t>
  </si>
  <si>
    <t>MSGMSEEEVRERAEAFARELSAETGVPVTAVVEDGRMTEAELVFALRHERNHVLLFDPADIASVEITLREGEVTTRITFTSEEAMERAKKRVIERAKEEYGLSDEMLERGAAIYERRLGLPREEARVMAANEAVATALGIIESAREGVPLEEIARILLGIPDPDIREVYIEGAMEVIERLDPELAKKLREKVGSGSGSGSGSGSGSGSGSGSGSGSGSGSGSSPAINVAVHVGSAWSHPQFEK</t>
  </si>
  <si>
    <t>6402_59</t>
  </si>
  <si>
    <t>6402_62</t>
  </si>
  <si>
    <t>6402_67</t>
  </si>
  <si>
    <t>6402_68</t>
  </si>
  <si>
    <t>6402_73</t>
  </si>
  <si>
    <t>6402_83</t>
  </si>
  <si>
    <t>6402_94</t>
  </si>
  <si>
    <t>SPAINVAVHV78|cis_chainA+GS15+epitope10|spainvavhv78_ori9_contig5_seed14_des_0_model_0_pt15_des_1_model_0_pt4_des_4_model_5_19_phosphots_seed-1_sample-0_model_12_model_0p134|seed-1_sample-2|chainA|src=seed-1_sample-2_model_complex.pdb</t>
  </si>
  <si>
    <t>MSGMTEEEAREIMERRAREIEEETGVPVEVTEVNPSYSREILEIALIHEQYHIDLFDKSKIEKIEIAAGETAVTVKITFKDEEAAEEGKKRVIERAKEEYGLTEEEIERYAEFVMEKLGLPREEAIFYAANEAVATALALREAYRRGTPLEVIKRFMDGIRENGFGFVYIEGALRVLEVIDPELAEVLRELLGSGSGSGSGSGSGSGSGSGSGSGSGSGSGSSPAINVAVHVGSAWSHPQFEK</t>
  </si>
  <si>
    <t>PAINVAVHVF67|cis_chainA+GS15+epitope10|painvavhvf67_ori10_contig5_seed14_des_0_model_0_pt15_des_3_model_0_pt4_des_0_model_4_17_phosphots_seed-1_sample-0_model_21_model_0p104|seed-1_sample-3|chainA|src=seed-1_sample-3_model_complex.pdb</t>
  </si>
  <si>
    <t>PAINVAVHVF67|cis_chainA+GS15+epitope10|painvavhvf67_ori1_contig7_seed13_des_0_model_2_pt13_des_2_model_0_pt3_des_3_model_1_19_phosphots_seed-1_sample-0_model_9_model_0p126|seed-1_sample-2|chainA|src=seed-1_sample-2_model_complex.pdb</t>
  </si>
  <si>
    <t>PAINVAVHVF67|cis_chainA+GS15+epitope10|painvavhvf67_ori1_contig7_seed13_des_0_model_2_pt13_des_3_model_0_pt5_des_4_model_2_8_phosphots_seed-1_sample-0_model_11_model_0p124|seed-1_sample-0|chainA|src=seed-1_sample-0_model_complex.pdb</t>
  </si>
  <si>
    <t>PAINVAVHVF67|cis_chainA+GS15+epitope10|painvavhvf67_ori1_contig7_seed13_des_0_model_2_pt15_des_0_model_0_pt3_des_2_model_1_20_phosphots_seed-1_sample-2_model_14_model_0p128|seed-1_sample-2|chainA|src=seed-1_sample-2_model_complex.pdb</t>
  </si>
  <si>
    <t>PAINVAVHVF67|cis_chainA+GS15+epitope10|painvavhvf67_ori4_contig5_seed13_des_0_model_0_pt13_des_4_model_0_pt5_des_0_model_1_11_phosphots_seed-1_sample-0_model_7_model_0p126|seed-1_sample-2|chainA|src=seed-1_sample-2_model_complex.pdb</t>
  </si>
  <si>
    <t>PAINVAVHVF67|cis_chainA+GS15+epitope10|painvavhvf67_ori7_contig5_seed14_des_0_model_0_pt13_des_1_model_0_pt5_des_1_model_5_2_phosphots_seed-1_sample-0_model_24_model_0p122|seed-1_sample-2|chainA|src=seed-1_sample-2_model_complex.pdb</t>
  </si>
  <si>
    <t>MSGMEMVPAEVLAEKIAEAIKERFPDVEVTTEAEGEVPREKLEFITIHEVNHLLLVEDKKITKVEVRVTTDRVELTIYYEGEPVTTEDLVESAARLLGLSKEQVWEVVDAVVEYSKRKASDGEATREQVIIEGTAVYLTYEELERLDDLRREGREVMETPEPKVDDIIYKVGAYAFLLAKEGEDVRAYLARVGSGSGSGSGSGSGSGSGSGSGSGSGSGSGSPAINVAVHVFGSAWSHPQFEK</t>
  </si>
  <si>
    <t>MSGKVMEMSAGELAERLKPEFRRFLDEIMGRPFEGPIDVVADPNAPGITVVSTINLETAEIEKITIRYNPNKTIRTRKTVEEIAREVARHEYLHTVVIRILKEENLLEKFLSLTPRQQRIILEGLVEYLEKNLDPDEIERIRKIVIPVVKYLLENPEVLDRVDPNDIYNSGAELIEEIVRELEAGSGSGSGSGSGSGSGSGSGSGSGSGSGSGSPAINVAVHVFGSAWSHPQFEK</t>
  </si>
  <si>
    <t>MSGARRTVTARELAEAIVPTLERELREVLGDRLRAPVTLVEDPTARGLTVTMRIDLETAEVLEVRIRYNPDATVTTDETPEELARRIATHEAAHVVIAEVLAEEDLVERFLALTPYQQRVLLEGIAQYIEDNYELEELPGLRDEVAPIVRYLLENPELLDKVDPDRIYEEGAELARRVYDELNAGSGSGSGSGSGSGSGSGSGSGSGSGSGSGSPAINVAVHVFGSAWSHPQFEK</t>
  </si>
  <si>
    <t>MSGMMKEFTAEEFARILAPILSEKVEKEFGKRLEPKLVARDDLGRAKVVVESKIDIETAEIEEIVIYYDPNATIRTEKTPEELAEEIAKHEIFHAWIVEILREENMLDRFLALTPRQQAVLLEGTAEFLVENYTLDDKEKIYEDMTPVLKYLLDNPERLDEAKTEDIYRDGKAFIERVYREYYAGSGSGSGSGSGSGSGSGSGSGSGSGSGSGSPAINVAVHVFGSAWSHPQFEK</t>
  </si>
  <si>
    <t>MSGMKTLFELLAEYYKNRDPEELKRVIERVAELLRPMGVSEADIRFAGVHEYMHVLLLAAAEEYGGGDGERILRRGLEAPIRAERVPGGYRVSMEVPVTEEEERRIRRVLEEETGLSFTEANEGIVTALTVLYFEEEGLTEIAKPYRDKIEGIQAGTWAPTTPVEELYYGNAAKFYDRIREALKGSGSGSGSGSGSGSGSGSGSGSGSGSGSGSPAINVAVHVFGSAWSHPQFEK</t>
  </si>
  <si>
    <t>MSGSREELMERMARELREMAERRFPDAPITVTAEGAIPEEAWEFVLRHEEVHLRMVDPATVASVEITITDERITLRITFRPGVDPMEEFRRGAMRLLGISEEELERVVDALVPRLVEMGLSEEEARKLAVVEGSVYYLAAKELDRLEEIEEKARRVLADPDASAEEVGYYAGFLLYKALAEGRDLDDIVALLGSGSGSGSGSGSGSGSGSGSGSGSGSGSGSPAINVAVHVFGSAWSHPQFEK</t>
  </si>
  <si>
    <t>6402_84</t>
  </si>
  <si>
    <t>G12</t>
  </si>
  <si>
    <t>PAINVAVHVF67|cis_chainA+GS15+epitope10|painvavhvf67_ori7_contig2_seed15_des_0_model_2_pt12_des_1_model_0_pt4_des_1_model_3_19_phosphots_seed-1_sample-0_model_11_model_0p150|seed-1_sample-0|chainA|src=seed-1_sample-0_model_complex.pdb</t>
  </si>
  <si>
    <t>MSGMRIRPTAEEAEQVNQIVNRAWERRDDPEVRALLREVYLGGAEGRPLEELTEAALRLARALGLEDVDPEAARIFAEVEARAYVRFQEALDAGYSVREAMIIHEYVHAQLLGTILSIEGDERGAVATFDASREMDRERNREVLTRFGRDVLGLSEERVDRLLDWAEGSGSGSGSGSGSGSGSGSGSGSGSGSGSGSPAINVAVHVFGSAWSHPQFEK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</si>
</sst>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rgb="FF000000"/>
      <name val="Arial"/>
      <family val="2"/>
    </font>
    <font>
      <sz val="15"/>
      <color rgb="FF000000"/>
      <name val="Arial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  <xf numFmtId="0" fontId="4" fillId="0" borderId="0" xfId="0" applyFont="1"/>
    <xf numFmtId="10" fontId="0" fillId="0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57BF1-5B44-0445-897F-750741EEAEA0}">
  <dimension ref="A1:O31"/>
  <sheetViews>
    <sheetView tabSelected="1" zoomScale="56" zoomScaleNormal="40" workbookViewId="0">
      <selection activeCell="AG28" sqref="AG28"/>
    </sheetView>
  </sheetViews>
  <sheetFormatPr baseColWidth="10" defaultRowHeight="45" customHeight="1" x14ac:dyDescent="0.2"/>
  <cols>
    <col min="1" max="1" width="10.83203125" style="5"/>
    <col min="2" max="2" width="24.1640625" style="5" customWidth="1"/>
    <col min="3" max="3" width="18.33203125" style="5" customWidth="1"/>
    <col min="4" max="4" width="18" style="5" customWidth="1"/>
    <col min="5" max="6" width="10.83203125" style="5"/>
    <col min="7" max="7" width="16.1640625" style="5" customWidth="1"/>
    <col min="8" max="8" width="17" style="5" customWidth="1"/>
    <col min="9" max="9" width="16.1640625" style="7" customWidth="1"/>
    <col min="10" max="10" width="10.83203125" style="5"/>
    <col min="11" max="11" width="25.1640625" style="5" customWidth="1"/>
    <col min="12" max="12" width="10.83203125" style="5"/>
    <col min="13" max="13" width="39.33203125" style="5" customWidth="1"/>
    <col min="14" max="14" width="55.1640625" style="5" customWidth="1"/>
    <col min="15" max="16384" width="10.83203125" style="5"/>
  </cols>
  <sheetData>
    <row r="1" spans="1:15" ht="45" customHeight="1" x14ac:dyDescent="0.2">
      <c r="A1" s="5" t="s">
        <v>37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7" t="s">
        <v>7</v>
      </c>
      <c r="K1" s="5" t="s">
        <v>56</v>
      </c>
      <c r="L1" s="5" t="s">
        <v>54</v>
      </c>
      <c r="M1" s="5" t="s">
        <v>55</v>
      </c>
      <c r="N1" t="s">
        <v>59</v>
      </c>
      <c r="O1" t="s">
        <v>60</v>
      </c>
    </row>
    <row r="2" spans="1:15" ht="45" customHeight="1" x14ac:dyDescent="0.2">
      <c r="A2" s="5">
        <v>9</v>
      </c>
      <c r="B2" s="5">
        <v>2335.355</v>
      </c>
      <c r="C2" s="5">
        <v>115.31399999999999</v>
      </c>
      <c r="D2" s="5">
        <v>0</v>
      </c>
      <c r="E2" s="5">
        <f>C2+B2</f>
        <v>2450.6689999999999</v>
      </c>
      <c r="F2" s="5">
        <f>B2/E2</f>
        <v>0.95294590987195749</v>
      </c>
      <c r="G2" s="5">
        <f>1-F2</f>
        <v>4.7054090128042514E-2</v>
      </c>
      <c r="H2" s="5">
        <f>G2-G3</f>
        <v>4.7054090128042514E-2</v>
      </c>
      <c r="I2" s="7">
        <f>H2/F3</f>
        <v>4.7054090128042514E-2</v>
      </c>
      <c r="J2" s="5" t="s">
        <v>8</v>
      </c>
      <c r="K2" t="s">
        <v>38</v>
      </c>
      <c r="L2" t="s">
        <v>52</v>
      </c>
      <c r="M2" s="3" t="s">
        <v>53</v>
      </c>
      <c r="N2" t="s">
        <v>61</v>
      </c>
      <c r="O2">
        <v>26507.200000000001</v>
      </c>
    </row>
    <row r="3" spans="1:15" ht="45" customHeight="1" x14ac:dyDescent="0.2">
      <c r="A3" s="5">
        <v>10</v>
      </c>
      <c r="B3" s="5">
        <v>2612.77</v>
      </c>
      <c r="C3" s="5">
        <v>0</v>
      </c>
      <c r="E3" s="5">
        <f>C3+B3</f>
        <v>2612.77</v>
      </c>
      <c r="F3" s="5">
        <f>B3/E3</f>
        <v>1</v>
      </c>
      <c r="G3" s="5">
        <f>1-F3</f>
        <v>0</v>
      </c>
      <c r="J3" s="5" t="s">
        <v>9</v>
      </c>
    </row>
    <row r="4" spans="1:15" ht="45" customHeight="1" x14ac:dyDescent="0.2">
      <c r="A4" s="5">
        <v>11</v>
      </c>
      <c r="B4" s="5">
        <v>2348.77</v>
      </c>
      <c r="C4" s="5">
        <v>94.191999999999993</v>
      </c>
      <c r="D4" s="5">
        <v>0</v>
      </c>
      <c r="E4" s="5">
        <f t="shared" ref="E4:E15" si="0">C4+B4</f>
        <v>2442.962</v>
      </c>
      <c r="F4" s="5">
        <f t="shared" ref="F4:F15" si="1">B4/E4</f>
        <v>0.96144352634220265</v>
      </c>
      <c r="G4" s="5">
        <f t="shared" ref="G4:G15" si="2">1-F4</f>
        <v>3.8556473657797352E-2</v>
      </c>
      <c r="H4" s="5">
        <f t="shared" ref="H4" si="3">G4-G5</f>
        <v>3.8556473657797352E-2</v>
      </c>
      <c r="I4" s="7">
        <f>H4/F5</f>
        <v>3.8556473657797352E-2</v>
      </c>
      <c r="J4" s="5" t="s">
        <v>8</v>
      </c>
      <c r="K4" s="4" t="s">
        <v>39</v>
      </c>
      <c r="L4" t="s">
        <v>57</v>
      </c>
      <c r="M4" s="3" t="s">
        <v>32</v>
      </c>
      <c r="N4" t="s">
        <v>62</v>
      </c>
      <c r="O4">
        <v>26656.400000000001</v>
      </c>
    </row>
    <row r="5" spans="1:15" ht="45" customHeight="1" x14ac:dyDescent="0.2">
      <c r="A5" s="5">
        <v>12</v>
      </c>
      <c r="B5" s="5">
        <v>2540.6480000000001</v>
      </c>
      <c r="E5" s="5">
        <f t="shared" si="0"/>
        <v>2540.6480000000001</v>
      </c>
      <c r="F5" s="5">
        <f t="shared" si="1"/>
        <v>1</v>
      </c>
      <c r="G5" s="5">
        <f t="shared" si="2"/>
        <v>0</v>
      </c>
      <c r="J5" s="5" t="s">
        <v>9</v>
      </c>
    </row>
    <row r="6" spans="1:15" ht="45" customHeight="1" x14ac:dyDescent="0.2">
      <c r="A6" s="5">
        <v>21</v>
      </c>
      <c r="B6" s="5">
        <v>4043.4259999999999</v>
      </c>
      <c r="C6" s="5">
        <v>188.971</v>
      </c>
      <c r="D6" s="5">
        <v>108.19199999999999</v>
      </c>
      <c r="E6" s="5">
        <f t="shared" si="0"/>
        <v>4232.3969999999999</v>
      </c>
      <c r="F6" s="5">
        <f t="shared" si="1"/>
        <v>0.95535130565492787</v>
      </c>
      <c r="G6" s="5">
        <f t="shared" si="2"/>
        <v>4.4648694345072126E-2</v>
      </c>
      <c r="H6" s="5">
        <f t="shared" ref="H6" si="4">G6-G7</f>
        <v>2.927165038094004E-2</v>
      </c>
      <c r="I6" s="7">
        <f t="shared" ref="I6" si="5">H6/F7</f>
        <v>2.9728791311944315E-2</v>
      </c>
      <c r="J6" s="5" t="s">
        <v>8</v>
      </c>
      <c r="K6" t="s">
        <v>40</v>
      </c>
      <c r="L6" t="s">
        <v>58</v>
      </c>
      <c r="M6" s="3" t="s">
        <v>33</v>
      </c>
      <c r="N6" t="s">
        <v>63</v>
      </c>
      <c r="O6">
        <v>26516.1</v>
      </c>
    </row>
    <row r="7" spans="1:15" ht="45" customHeight="1" x14ac:dyDescent="0.2">
      <c r="A7" s="5">
        <v>22</v>
      </c>
      <c r="B7" s="5">
        <v>4505.5479999999998</v>
      </c>
      <c r="C7" s="5">
        <v>70.364000000000004</v>
      </c>
      <c r="E7" s="5">
        <f t="shared" si="0"/>
        <v>4575.9119999999994</v>
      </c>
      <c r="F7" s="5">
        <f t="shared" si="1"/>
        <v>0.98462295603586791</v>
      </c>
      <c r="G7" s="5">
        <f t="shared" si="2"/>
        <v>1.5377043964132087E-2</v>
      </c>
      <c r="J7" s="5" t="s">
        <v>9</v>
      </c>
    </row>
    <row r="8" spans="1:15" ht="45" customHeight="1" x14ac:dyDescent="0.2">
      <c r="A8" s="5">
        <v>23</v>
      </c>
      <c r="B8" s="5">
        <v>4531.9120000000003</v>
      </c>
      <c r="C8" s="5">
        <v>365.21300000000002</v>
      </c>
      <c r="D8" s="5">
        <v>419.33499999999998</v>
      </c>
      <c r="E8" s="5">
        <f t="shared" si="0"/>
        <v>4897.125</v>
      </c>
      <c r="F8" s="5">
        <f t="shared" si="1"/>
        <v>0.92542297776756777</v>
      </c>
      <c r="G8" s="5">
        <f t="shared" si="2"/>
        <v>7.4577022232432233E-2</v>
      </c>
      <c r="H8" s="5">
        <f t="shared" ref="H8" si="6">G8-G9</f>
        <v>6.506506561406622E-2</v>
      </c>
      <c r="I8" s="7">
        <f t="shared" ref="I8" si="7">H8/F9</f>
        <v>6.5689905142041899E-2</v>
      </c>
      <c r="J8" s="5" t="s">
        <v>8</v>
      </c>
      <c r="K8" s="4" t="s">
        <v>41</v>
      </c>
      <c r="L8" t="s">
        <v>64</v>
      </c>
      <c r="M8" s="3" t="s">
        <v>34</v>
      </c>
      <c r="N8" t="s">
        <v>65</v>
      </c>
      <c r="O8">
        <v>26751.3</v>
      </c>
    </row>
    <row r="9" spans="1:15" ht="45" customHeight="1" x14ac:dyDescent="0.2">
      <c r="A9" s="5">
        <v>24</v>
      </c>
      <c r="B9" s="5">
        <v>5036.1840000000002</v>
      </c>
      <c r="C9" s="5">
        <v>48.363999999999997</v>
      </c>
      <c r="E9" s="5">
        <f t="shared" si="0"/>
        <v>5084.5479999999998</v>
      </c>
      <c r="F9" s="5">
        <f t="shared" si="1"/>
        <v>0.99048804338163399</v>
      </c>
      <c r="G9" s="5">
        <f t="shared" si="2"/>
        <v>9.5119566183660131E-3</v>
      </c>
      <c r="J9" s="5" t="s">
        <v>9</v>
      </c>
    </row>
    <row r="10" spans="1:15" ht="45" customHeight="1" x14ac:dyDescent="0.2">
      <c r="A10" s="5">
        <v>9</v>
      </c>
      <c r="B10" s="5">
        <v>4940.9620000000004</v>
      </c>
      <c r="C10" s="5">
        <v>409.38499999999999</v>
      </c>
      <c r="D10" s="5">
        <v>749.74900000000002</v>
      </c>
      <c r="E10" s="5">
        <f t="shared" si="0"/>
        <v>5350.3470000000007</v>
      </c>
      <c r="F10" s="5">
        <f t="shared" si="1"/>
        <v>0.92348440203971816</v>
      </c>
      <c r="G10" s="5">
        <f t="shared" si="2"/>
        <v>7.6515597960281845E-2</v>
      </c>
      <c r="H10" s="5">
        <f t="shared" ref="H10" si="8">G10-G11</f>
        <v>7.6515597960281845E-2</v>
      </c>
      <c r="I10" s="7">
        <f t="shared" ref="I10" si="9">H10/F11</f>
        <v>7.6515597960281845E-2</v>
      </c>
      <c r="J10" s="5" t="s">
        <v>8</v>
      </c>
      <c r="K10" s="4" t="s">
        <v>42</v>
      </c>
      <c r="L10" t="s">
        <v>66</v>
      </c>
      <c r="M10" s="3" t="s">
        <v>36</v>
      </c>
      <c r="N10" t="s">
        <v>67</v>
      </c>
      <c r="O10">
        <v>26843.5</v>
      </c>
    </row>
    <row r="11" spans="1:15" ht="45" customHeight="1" x14ac:dyDescent="0.2">
      <c r="A11" s="5">
        <v>10</v>
      </c>
      <c r="B11" s="5">
        <v>5892.9620000000004</v>
      </c>
      <c r="C11" s="5">
        <v>0</v>
      </c>
      <c r="E11" s="5">
        <f>C11+B11</f>
        <v>5892.9620000000004</v>
      </c>
      <c r="F11" s="5">
        <f t="shared" ref="F11" si="10">B11/E11</f>
        <v>1</v>
      </c>
      <c r="G11" s="5">
        <f t="shared" si="2"/>
        <v>0</v>
      </c>
      <c r="J11" s="5" t="s">
        <v>9</v>
      </c>
    </row>
    <row r="12" spans="1:15" ht="45" customHeight="1" x14ac:dyDescent="0.2">
      <c r="A12" s="5">
        <v>11</v>
      </c>
      <c r="B12" s="5">
        <v>3048.0120000000002</v>
      </c>
      <c r="C12" s="5">
        <v>57.777999999999999</v>
      </c>
      <c r="D12" s="5">
        <v>0</v>
      </c>
      <c r="E12" s="5">
        <f t="shared" si="0"/>
        <v>3105.79</v>
      </c>
      <c r="F12" s="5">
        <f t="shared" si="1"/>
        <v>0.98139668168163341</v>
      </c>
      <c r="G12" s="5">
        <f t="shared" si="2"/>
        <v>1.8603318318366591E-2</v>
      </c>
      <c r="H12" s="5">
        <f t="shared" ref="H12" si="11">G12-G13</f>
        <v>1.8603318318366591E-2</v>
      </c>
      <c r="I12" s="7">
        <f t="shared" ref="I12" si="12">H12/F13</f>
        <v>1.8603318318366591E-2</v>
      </c>
      <c r="J12" s="5" t="s">
        <v>8</v>
      </c>
      <c r="K12" s="4" t="s">
        <v>43</v>
      </c>
      <c r="L12" t="s">
        <v>68</v>
      </c>
      <c r="M12" s="3" t="s">
        <v>35</v>
      </c>
      <c r="N12" t="s">
        <v>69</v>
      </c>
      <c r="O12">
        <v>26501.8</v>
      </c>
    </row>
    <row r="13" spans="1:15" ht="45" customHeight="1" x14ac:dyDescent="0.2">
      <c r="A13" s="5">
        <v>12</v>
      </c>
      <c r="B13" s="5">
        <v>3480.134</v>
      </c>
      <c r="C13" s="5">
        <v>0</v>
      </c>
      <c r="E13" s="5">
        <f t="shared" si="0"/>
        <v>3480.134</v>
      </c>
      <c r="F13" s="5">
        <f t="shared" si="1"/>
        <v>1</v>
      </c>
      <c r="G13" s="5">
        <f t="shared" si="2"/>
        <v>0</v>
      </c>
      <c r="J13" s="5" t="s">
        <v>9</v>
      </c>
    </row>
    <row r="14" spans="1:15" ht="45" customHeight="1" x14ac:dyDescent="0.2">
      <c r="A14" s="5">
        <v>13</v>
      </c>
      <c r="B14" s="5">
        <v>3930.82</v>
      </c>
      <c r="C14" s="5">
        <v>378.79899999999998</v>
      </c>
      <c r="D14" s="5">
        <v>0</v>
      </c>
      <c r="E14" s="5">
        <f t="shared" si="0"/>
        <v>4309.6190000000006</v>
      </c>
      <c r="F14" s="5">
        <f t="shared" si="1"/>
        <v>0.91210383098830772</v>
      </c>
      <c r="G14" s="5">
        <f t="shared" si="2"/>
        <v>8.7896169011692282E-2</v>
      </c>
      <c r="H14" s="5">
        <f t="shared" ref="H14" si="13">G14-G15</f>
        <v>6.2481462715355818E-2</v>
      </c>
      <c r="I14" s="7">
        <f t="shared" ref="I14" si="14">H14/F15</f>
        <v>6.4110820385880146E-2</v>
      </c>
      <c r="J14" s="5" t="s">
        <v>8</v>
      </c>
      <c r="K14" s="4" t="s">
        <v>44</v>
      </c>
      <c r="L14" t="s">
        <v>70</v>
      </c>
      <c r="M14" s="3" t="s">
        <v>71</v>
      </c>
      <c r="N14" t="s">
        <v>72</v>
      </c>
      <c r="O14">
        <v>25938.7</v>
      </c>
    </row>
    <row r="15" spans="1:15" ht="45" customHeight="1" x14ac:dyDescent="0.2">
      <c r="A15" s="5">
        <v>14</v>
      </c>
      <c r="B15" s="5">
        <v>4223.6480000000001</v>
      </c>
      <c r="C15" s="5">
        <v>110.142</v>
      </c>
      <c r="E15" s="5">
        <f t="shared" si="0"/>
        <v>4333.79</v>
      </c>
      <c r="F15" s="5">
        <f t="shared" si="1"/>
        <v>0.97458529370366354</v>
      </c>
      <c r="G15" s="5">
        <f t="shared" si="2"/>
        <v>2.5414706296336464E-2</v>
      </c>
      <c r="J15" s="5" t="s">
        <v>9</v>
      </c>
    </row>
    <row r="16" spans="1:15" ht="45" customHeight="1" x14ac:dyDescent="0.2">
      <c r="A16" s="5">
        <v>15</v>
      </c>
      <c r="B16" s="5">
        <v>307.92</v>
      </c>
      <c r="C16" s="5">
        <v>5195.1540000000005</v>
      </c>
      <c r="D16" s="5">
        <v>0</v>
      </c>
      <c r="E16" s="5">
        <f t="shared" ref="E16:E26" si="15">C16+B16</f>
        <v>5503.0740000000005</v>
      </c>
      <c r="F16" s="5">
        <f t="shared" ref="F16:F26" si="16">B16/E16</f>
        <v>5.5954181244882405E-2</v>
      </c>
      <c r="G16" s="5">
        <f t="shared" ref="G16:G27" si="17">1-F16</f>
        <v>0.94404581875511762</v>
      </c>
      <c r="H16" s="5">
        <f>G16-G17</f>
        <v>0.62378444610975481</v>
      </c>
      <c r="I16" s="7">
        <f>H16/F17</f>
        <v>0.91768279895665006</v>
      </c>
      <c r="J16" s="5" t="s">
        <v>8</v>
      </c>
      <c r="K16" s="4" t="s">
        <v>45</v>
      </c>
      <c r="L16" t="s">
        <v>73</v>
      </c>
      <c r="M16" s="4" t="s">
        <v>80</v>
      </c>
      <c r="N16" t="s">
        <v>81</v>
      </c>
      <c r="O16">
        <v>26448.2</v>
      </c>
    </row>
    <row r="17" spans="1:15" ht="45" customHeight="1" x14ac:dyDescent="0.2">
      <c r="A17" s="5">
        <v>16</v>
      </c>
      <c r="B17" s="5">
        <v>3607.933</v>
      </c>
      <c r="C17" s="5">
        <v>1699.8910000000001</v>
      </c>
      <c r="E17" s="5">
        <f>C17+B17</f>
        <v>5307.8240000000005</v>
      </c>
      <c r="F17" s="5">
        <f t="shared" si="16"/>
        <v>0.67973862735463719</v>
      </c>
      <c r="G17" s="5">
        <f t="shared" si="17"/>
        <v>0.32026137264536281</v>
      </c>
      <c r="J17" s="5" t="s">
        <v>9</v>
      </c>
    </row>
    <row r="18" spans="1:15" ht="45" customHeight="1" x14ac:dyDescent="0.2">
      <c r="A18" s="5">
        <v>17</v>
      </c>
      <c r="B18" s="5">
        <v>196.55600000000001</v>
      </c>
      <c r="C18" s="5">
        <v>230.678</v>
      </c>
      <c r="D18" s="5">
        <v>321.21300000000002</v>
      </c>
      <c r="E18" s="5">
        <f>C18+B17</f>
        <v>3838.6109999999999</v>
      </c>
      <c r="F18" s="5">
        <f>B17/E18</f>
        <v>0.93990586699199274</v>
      </c>
      <c r="G18" s="5">
        <f t="shared" si="17"/>
        <v>6.0094133008007256E-2</v>
      </c>
      <c r="H18" s="5">
        <f t="shared" ref="H18" si="18">G18-G19</f>
        <v>6.0094133008007256E-2</v>
      </c>
      <c r="I18" s="7">
        <f t="shared" ref="I18" si="19">H18/F19</f>
        <v>6.0094133008007256E-2</v>
      </c>
      <c r="J18" s="5" t="s">
        <v>8</v>
      </c>
      <c r="K18" s="4" t="s">
        <v>46</v>
      </c>
      <c r="L18" s="6" t="s">
        <v>74</v>
      </c>
      <c r="M18" s="3" t="s">
        <v>82</v>
      </c>
      <c r="N18" t="s">
        <v>88</v>
      </c>
      <c r="O18">
        <v>26327</v>
      </c>
    </row>
    <row r="19" spans="1:15" ht="45" customHeight="1" x14ac:dyDescent="0.2">
      <c r="A19" s="5">
        <v>18</v>
      </c>
      <c r="B19" s="5">
        <v>484.79899999999998</v>
      </c>
      <c r="E19" s="5">
        <f>C19+B19</f>
        <v>484.79899999999998</v>
      </c>
      <c r="F19" s="5">
        <f t="shared" ref="F19" si="20">B19/E19</f>
        <v>1</v>
      </c>
      <c r="G19" s="5">
        <f t="shared" ref="G19" si="21">1-F19</f>
        <v>0</v>
      </c>
      <c r="J19" s="5" t="s">
        <v>9</v>
      </c>
    </row>
    <row r="20" spans="1:15" ht="45" customHeight="1" x14ac:dyDescent="0.2">
      <c r="A20" s="5">
        <v>19</v>
      </c>
      <c r="B20" s="5">
        <v>2712.4769999999999</v>
      </c>
      <c r="C20" s="5">
        <v>1477.3050000000001</v>
      </c>
      <c r="D20" s="5">
        <v>0</v>
      </c>
      <c r="E20" s="5">
        <f t="shared" si="15"/>
        <v>4189.7820000000002</v>
      </c>
      <c r="F20" s="5">
        <f t="shared" si="16"/>
        <v>0.64740289590245981</v>
      </c>
      <c r="G20" s="5">
        <f t="shared" si="17"/>
        <v>0.35259710409754019</v>
      </c>
      <c r="H20" s="5">
        <f t="shared" ref="H20" si="22">G20-G21</f>
        <v>0.35259710409754019</v>
      </c>
      <c r="I20" s="7">
        <f t="shared" ref="I20" si="23">H20/F21</f>
        <v>0.35259710409754019</v>
      </c>
      <c r="J20" s="5" t="s">
        <v>8</v>
      </c>
      <c r="K20" s="4" t="s">
        <v>47</v>
      </c>
      <c r="L20" s="6" t="s">
        <v>75</v>
      </c>
      <c r="M20" s="3" t="s">
        <v>83</v>
      </c>
      <c r="N20" t="s">
        <v>89</v>
      </c>
      <c r="O20">
        <v>25738.799999999999</v>
      </c>
    </row>
    <row r="21" spans="1:15" ht="45" customHeight="1" x14ac:dyDescent="0.2">
      <c r="A21" s="5">
        <v>20</v>
      </c>
      <c r="B21" s="5">
        <v>3684.355</v>
      </c>
      <c r="E21" s="5">
        <f>C21+B21</f>
        <v>3684.355</v>
      </c>
      <c r="F21" s="5">
        <f t="shared" ref="F21" si="24">B21/E21</f>
        <v>1</v>
      </c>
      <c r="G21" s="5">
        <f t="shared" ref="G21" si="25">1-F21</f>
        <v>0</v>
      </c>
      <c r="J21" s="5" t="s">
        <v>9</v>
      </c>
    </row>
    <row r="22" spans="1:15" ht="45" customHeight="1" x14ac:dyDescent="0.2">
      <c r="A22" s="5">
        <v>21</v>
      </c>
      <c r="B22" s="5">
        <v>219.55600000000001</v>
      </c>
      <c r="C22" s="5">
        <v>1558.527</v>
      </c>
      <c r="D22" s="5">
        <v>0</v>
      </c>
      <c r="E22" s="5">
        <f t="shared" si="15"/>
        <v>1778.0830000000001</v>
      </c>
      <c r="F22" s="5">
        <f t="shared" si="16"/>
        <v>0.12347905019057041</v>
      </c>
      <c r="G22" s="5">
        <f t="shared" si="17"/>
        <v>0.87652094980942963</v>
      </c>
      <c r="H22" s="5">
        <f t="shared" ref="H22" si="26">G22-G23</f>
        <v>0.87652094980942963</v>
      </c>
      <c r="I22" s="7">
        <f t="shared" ref="I22" si="27">H22/F23</f>
        <v>0.87652094980942963</v>
      </c>
      <c r="J22" s="5" t="s">
        <v>8</v>
      </c>
      <c r="K22" s="4" t="s">
        <v>48</v>
      </c>
      <c r="L22" s="6" t="s">
        <v>76</v>
      </c>
      <c r="M22" s="3" t="s">
        <v>84</v>
      </c>
      <c r="N22" t="s">
        <v>90</v>
      </c>
      <c r="O22">
        <v>25396.9</v>
      </c>
    </row>
    <row r="23" spans="1:15" ht="45" customHeight="1" x14ac:dyDescent="0.2">
      <c r="A23" s="5">
        <v>22</v>
      </c>
      <c r="B23" s="5">
        <v>1406.2840000000001</v>
      </c>
      <c r="E23" s="5">
        <f>C23+B23</f>
        <v>1406.2840000000001</v>
      </c>
      <c r="F23" s="5">
        <f t="shared" ref="F23" si="28">B23/E23</f>
        <v>1</v>
      </c>
      <c r="G23" s="5">
        <f t="shared" ref="G23" si="29">1-F23</f>
        <v>0</v>
      </c>
      <c r="J23" s="5" t="s">
        <v>9</v>
      </c>
    </row>
    <row r="24" spans="1:15" ht="45" customHeight="1" x14ac:dyDescent="0.2">
      <c r="A24" s="5">
        <v>23</v>
      </c>
      <c r="B24" s="5">
        <v>223.26300000000001</v>
      </c>
      <c r="C24" s="5">
        <v>375.09199999999998</v>
      </c>
      <c r="D24" s="5">
        <v>413.50599999999997</v>
      </c>
      <c r="E24" s="5">
        <f t="shared" si="15"/>
        <v>598.35500000000002</v>
      </c>
      <c r="F24" s="5">
        <f t="shared" si="16"/>
        <v>0.3731279925796559</v>
      </c>
      <c r="G24" s="5">
        <f t="shared" si="17"/>
        <v>0.6268720074203441</v>
      </c>
      <c r="H24" s="5">
        <f t="shared" ref="H24" si="30">G24-G25</f>
        <v>0.28955408055943987</v>
      </c>
      <c r="I24" s="7">
        <f t="shared" ref="I24" si="31">H24/F25</f>
        <v>0.43694267929692887</v>
      </c>
      <c r="J24" s="5" t="s">
        <v>8</v>
      </c>
      <c r="K24" s="4" t="s">
        <v>49</v>
      </c>
      <c r="L24" s="6" t="s">
        <v>77</v>
      </c>
      <c r="M24" s="3" t="s">
        <v>85</v>
      </c>
      <c r="N24" t="s">
        <v>91</v>
      </c>
      <c r="O24">
        <v>26062.9</v>
      </c>
    </row>
    <row r="25" spans="1:15" ht="45" customHeight="1" x14ac:dyDescent="0.2">
      <c r="A25" s="5">
        <v>24</v>
      </c>
      <c r="B25" s="5">
        <v>1182.749</v>
      </c>
      <c r="C25" s="5">
        <v>602.04200000000003</v>
      </c>
      <c r="E25" s="5">
        <f>C25+B25</f>
        <v>1784.7910000000002</v>
      </c>
      <c r="F25" s="5">
        <f>B25/E25</f>
        <v>0.66268207313909577</v>
      </c>
      <c r="G25" s="5">
        <f t="shared" ref="G25" si="32">1-F25</f>
        <v>0.33731792686090423</v>
      </c>
      <c r="J25" s="5" t="s">
        <v>9</v>
      </c>
    </row>
    <row r="26" spans="1:15" ht="45" customHeight="1" x14ac:dyDescent="0.2">
      <c r="A26" s="5">
        <v>25</v>
      </c>
      <c r="B26" s="5">
        <v>264.09199999999998</v>
      </c>
      <c r="C26" s="5">
        <v>2234.962</v>
      </c>
      <c r="D26" s="5">
        <v>0</v>
      </c>
      <c r="E26" s="5">
        <f t="shared" si="15"/>
        <v>2499.0540000000001</v>
      </c>
      <c r="F26" s="5">
        <f t="shared" si="16"/>
        <v>0.10567678809661575</v>
      </c>
      <c r="G26" s="5">
        <f t="shared" si="17"/>
        <v>0.89432321190338426</v>
      </c>
      <c r="H26" s="5">
        <f t="shared" ref="H26" si="33">G26-G27</f>
        <v>0.89432321190338426</v>
      </c>
      <c r="I26" s="7">
        <f t="shared" ref="I26" si="34">H26/F27</f>
        <v>0.89432321190338426</v>
      </c>
      <c r="J26" s="5" t="s">
        <v>8</v>
      </c>
      <c r="K26" s="4" t="s">
        <v>50</v>
      </c>
      <c r="L26" s="6" t="s">
        <v>78</v>
      </c>
      <c r="M26" s="3" t="s">
        <v>86</v>
      </c>
      <c r="N26" t="s">
        <v>92</v>
      </c>
      <c r="O26">
        <v>25439.1</v>
      </c>
    </row>
    <row r="27" spans="1:15" ht="45" customHeight="1" x14ac:dyDescent="0.2">
      <c r="A27" s="5">
        <v>26</v>
      </c>
      <c r="B27" s="5">
        <v>2283.6979999999999</v>
      </c>
      <c r="E27" s="5">
        <f>C27+B27</f>
        <v>2283.6979999999999</v>
      </c>
      <c r="F27" s="5">
        <f>B27/E27</f>
        <v>1</v>
      </c>
      <c r="G27" s="5">
        <f t="shared" si="17"/>
        <v>0</v>
      </c>
      <c r="J27" s="5" t="s">
        <v>9</v>
      </c>
    </row>
    <row r="28" spans="1:15" ht="45" customHeight="1" x14ac:dyDescent="0.2">
      <c r="A28" s="5">
        <v>27</v>
      </c>
      <c r="B28" s="5">
        <v>1266.991</v>
      </c>
      <c r="C28" s="5">
        <v>1091.8910000000001</v>
      </c>
      <c r="D28" s="5">
        <v>0</v>
      </c>
      <c r="E28" s="5">
        <f>C28+B28</f>
        <v>2358.8820000000001</v>
      </c>
      <c r="F28" s="5">
        <f>B28/E28</f>
        <v>0.53711504009102617</v>
      </c>
      <c r="G28" s="5">
        <f>1-F28</f>
        <v>0.46288495990897383</v>
      </c>
      <c r="H28" s="5">
        <f t="shared" ref="H28" si="35">G28-G29</f>
        <v>0.46288495990897383</v>
      </c>
      <c r="I28" s="7">
        <f t="shared" ref="I28" si="36">H28/F29</f>
        <v>0.46288495990897383</v>
      </c>
      <c r="J28" s="5" t="s">
        <v>8</v>
      </c>
      <c r="K28" s="4" t="s">
        <v>95</v>
      </c>
      <c r="L28" s="6" t="s">
        <v>94</v>
      </c>
      <c r="M28" t="s">
        <v>96</v>
      </c>
      <c r="N28" t="s">
        <v>97</v>
      </c>
      <c r="O28">
        <v>23475.599999999999</v>
      </c>
    </row>
    <row r="29" spans="1:15" ht="45" customHeight="1" x14ac:dyDescent="0.2">
      <c r="A29" s="5">
        <v>28</v>
      </c>
      <c r="B29" s="5">
        <v>2168.9409999999998</v>
      </c>
      <c r="E29" s="5">
        <f>C29+B29</f>
        <v>2168.9409999999998</v>
      </c>
      <c r="F29" s="5">
        <f>B29/E29</f>
        <v>1</v>
      </c>
      <c r="G29" s="5">
        <f>1-F29</f>
        <v>0</v>
      </c>
      <c r="J29" s="5" t="s">
        <v>9</v>
      </c>
    </row>
    <row r="30" spans="1:15" ht="45" customHeight="1" x14ac:dyDescent="0.2">
      <c r="A30" s="5">
        <v>29</v>
      </c>
      <c r="B30" s="5">
        <v>1618.2840000000001</v>
      </c>
      <c r="C30" s="5">
        <v>2975.6190000000001</v>
      </c>
      <c r="D30" s="5">
        <v>0</v>
      </c>
      <c r="E30" s="5">
        <f>C30+B30</f>
        <v>4593.9030000000002</v>
      </c>
      <c r="F30" s="5">
        <f>B30/E30</f>
        <v>0.35226777753034838</v>
      </c>
      <c r="G30" s="5">
        <f>1-F30</f>
        <v>0.64773222246965156</v>
      </c>
      <c r="H30" s="5">
        <f t="shared" ref="H30" si="37">G30-G31</f>
        <v>0.64773222246965156</v>
      </c>
      <c r="I30" s="7">
        <f t="shared" ref="I30" si="38">H30/F31</f>
        <v>0.64773222246965156</v>
      </c>
      <c r="J30" s="5" t="s">
        <v>8</v>
      </c>
      <c r="K30" s="4" t="s">
        <v>51</v>
      </c>
      <c r="L30" s="6" t="s">
        <v>79</v>
      </c>
      <c r="M30" s="4" t="s">
        <v>87</v>
      </c>
      <c r="N30" t="s">
        <v>93</v>
      </c>
      <c r="O30">
        <v>26286.2</v>
      </c>
    </row>
    <row r="31" spans="1:15" ht="45" customHeight="1" x14ac:dyDescent="0.2">
      <c r="A31" s="5">
        <v>30</v>
      </c>
      <c r="B31" s="5">
        <v>4964.2340000000004</v>
      </c>
      <c r="C31" s="5">
        <v>0</v>
      </c>
      <c r="E31" s="5">
        <f>C31+B31</f>
        <v>4964.2340000000004</v>
      </c>
      <c r="F31" s="5">
        <f>B31/E31</f>
        <v>1</v>
      </c>
      <c r="G31" s="5">
        <f>1-F31</f>
        <v>0</v>
      </c>
      <c r="J31" s="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6079-2A3D-1444-A3CF-71D9C8CE993D}">
  <dimension ref="A1:I153"/>
  <sheetViews>
    <sheetView workbookViewId="0">
      <selection activeCell="J3" sqref="J3"/>
    </sheetView>
  </sheetViews>
  <sheetFormatPr baseColWidth="10" defaultRowHeight="16" x14ac:dyDescent="0.2"/>
  <cols>
    <col min="2" max="2" width="60.33203125" customWidth="1"/>
    <col min="7" max="7" width="15.6640625" customWidth="1"/>
    <col min="8" max="8" width="33" customWidth="1"/>
  </cols>
  <sheetData>
    <row r="1" spans="1:9" ht="19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ht="19" x14ac:dyDescent="0.2">
      <c r="A2" s="2">
        <v>1</v>
      </c>
      <c r="B2" s="2" t="s">
        <v>19</v>
      </c>
      <c r="C2" s="2">
        <v>669</v>
      </c>
      <c r="D2" s="2">
        <v>223</v>
      </c>
      <c r="E2" s="2">
        <v>237</v>
      </c>
      <c r="F2" s="2">
        <v>25742.5</v>
      </c>
      <c r="G2" s="2">
        <v>714</v>
      </c>
      <c r="H2" s="2">
        <v>5924</v>
      </c>
      <c r="I2" s="2" t="s">
        <v>20</v>
      </c>
    </row>
    <row r="3" spans="1:9" ht="19" x14ac:dyDescent="0.2">
      <c r="A3" s="2">
        <v>2</v>
      </c>
      <c r="B3" s="2" t="s">
        <v>19</v>
      </c>
      <c r="C3" s="2">
        <v>669</v>
      </c>
      <c r="D3" s="2">
        <v>223</v>
      </c>
      <c r="E3" s="2">
        <v>237</v>
      </c>
      <c r="F3" s="2">
        <v>25836.5</v>
      </c>
      <c r="G3" s="2">
        <v>714</v>
      </c>
      <c r="H3" s="2">
        <v>5924</v>
      </c>
      <c r="I3" s="2" t="s">
        <v>20</v>
      </c>
    </row>
    <row r="4" spans="1:9" ht="19" x14ac:dyDescent="0.2">
      <c r="A4" s="2">
        <v>3</v>
      </c>
      <c r="B4" s="2" t="s">
        <v>19</v>
      </c>
      <c r="C4" s="2">
        <v>669</v>
      </c>
      <c r="D4" s="2">
        <v>223</v>
      </c>
      <c r="E4" s="2">
        <v>237</v>
      </c>
      <c r="F4" s="2">
        <v>25661.4</v>
      </c>
      <c r="G4" s="2">
        <v>714</v>
      </c>
      <c r="H4" s="2">
        <v>5924</v>
      </c>
      <c r="I4" s="2" t="s">
        <v>20</v>
      </c>
    </row>
    <row r="5" spans="1:9" ht="19" x14ac:dyDescent="0.2">
      <c r="A5" s="2">
        <v>4</v>
      </c>
      <c r="B5" s="2" t="s">
        <v>21</v>
      </c>
      <c r="C5" s="2">
        <v>687</v>
      </c>
      <c r="D5" s="2">
        <v>229</v>
      </c>
      <c r="E5" s="2">
        <v>243</v>
      </c>
      <c r="F5" s="2">
        <v>26738.400000000001</v>
      </c>
      <c r="G5" s="2">
        <v>732</v>
      </c>
      <c r="H5" s="2">
        <v>5942</v>
      </c>
      <c r="I5" s="2" t="s">
        <v>20</v>
      </c>
    </row>
    <row r="6" spans="1:9" ht="19" x14ac:dyDescent="0.2">
      <c r="A6" s="2">
        <v>5</v>
      </c>
      <c r="B6" s="2" t="s">
        <v>21</v>
      </c>
      <c r="C6" s="2">
        <v>687</v>
      </c>
      <c r="D6" s="2">
        <v>229</v>
      </c>
      <c r="E6" s="2">
        <v>243</v>
      </c>
      <c r="F6" s="2">
        <v>26507.200000000001</v>
      </c>
      <c r="G6" s="2">
        <v>732</v>
      </c>
      <c r="H6" s="2">
        <v>5942</v>
      </c>
      <c r="I6" s="2" t="s">
        <v>20</v>
      </c>
    </row>
    <row r="7" spans="1:9" ht="19" x14ac:dyDescent="0.2">
      <c r="A7" s="2">
        <v>6</v>
      </c>
      <c r="B7" s="2" t="s">
        <v>21</v>
      </c>
      <c r="C7" s="2">
        <v>687</v>
      </c>
      <c r="D7" s="2">
        <v>229</v>
      </c>
      <c r="E7" s="2">
        <v>243</v>
      </c>
      <c r="F7" s="2">
        <v>26656.400000000001</v>
      </c>
      <c r="G7" s="2">
        <v>732</v>
      </c>
      <c r="H7" s="2">
        <v>5942</v>
      </c>
      <c r="I7" s="2" t="s">
        <v>20</v>
      </c>
    </row>
    <row r="8" spans="1:9" ht="19" x14ac:dyDescent="0.2">
      <c r="A8" s="2">
        <v>7</v>
      </c>
      <c r="B8" s="2" t="s">
        <v>21</v>
      </c>
      <c r="C8" s="2">
        <v>687</v>
      </c>
      <c r="D8" s="2">
        <v>229</v>
      </c>
      <c r="E8" s="2">
        <v>243</v>
      </c>
      <c r="F8" s="2">
        <v>26682.3</v>
      </c>
      <c r="G8" s="2">
        <v>732</v>
      </c>
      <c r="H8" s="2">
        <v>5942</v>
      </c>
      <c r="I8" s="2" t="s">
        <v>20</v>
      </c>
    </row>
    <row r="9" spans="1:9" ht="19" x14ac:dyDescent="0.2">
      <c r="A9" s="2">
        <v>8</v>
      </c>
      <c r="B9" s="2" t="s">
        <v>21</v>
      </c>
      <c r="C9" s="2">
        <v>687</v>
      </c>
      <c r="D9" s="2">
        <v>229</v>
      </c>
      <c r="E9" s="2">
        <v>243</v>
      </c>
      <c r="F9" s="2">
        <v>26574.1</v>
      </c>
      <c r="G9" s="2">
        <v>732</v>
      </c>
      <c r="H9" s="2">
        <v>5942</v>
      </c>
      <c r="I9" s="2" t="s">
        <v>20</v>
      </c>
    </row>
    <row r="10" spans="1:9" ht="19" x14ac:dyDescent="0.2">
      <c r="A10" s="2">
        <v>9</v>
      </c>
      <c r="B10" s="2" t="s">
        <v>21</v>
      </c>
      <c r="C10" s="2">
        <v>687</v>
      </c>
      <c r="D10" s="2">
        <v>229</v>
      </c>
      <c r="E10" s="2">
        <v>243</v>
      </c>
      <c r="F10" s="2">
        <v>26697.3</v>
      </c>
      <c r="G10" s="2">
        <v>732</v>
      </c>
      <c r="H10" s="2">
        <v>5942</v>
      </c>
      <c r="I10" s="2" t="s">
        <v>20</v>
      </c>
    </row>
    <row r="11" spans="1:9" ht="19" x14ac:dyDescent="0.2">
      <c r="A11" s="2">
        <v>10</v>
      </c>
      <c r="B11" s="2" t="s">
        <v>21</v>
      </c>
      <c r="C11" s="2">
        <v>687</v>
      </c>
      <c r="D11" s="2">
        <v>229</v>
      </c>
      <c r="E11" s="2">
        <v>243</v>
      </c>
      <c r="F11" s="2">
        <v>26422.9</v>
      </c>
      <c r="G11" s="2">
        <v>732</v>
      </c>
      <c r="H11" s="2">
        <v>5942</v>
      </c>
      <c r="I11" s="2" t="s">
        <v>20</v>
      </c>
    </row>
    <row r="12" spans="1:9" ht="19" x14ac:dyDescent="0.2">
      <c r="A12" s="2">
        <v>11</v>
      </c>
      <c r="B12" s="2" t="s">
        <v>21</v>
      </c>
      <c r="C12" s="2">
        <v>687</v>
      </c>
      <c r="D12" s="2">
        <v>229</v>
      </c>
      <c r="E12" s="2">
        <v>243</v>
      </c>
      <c r="F12" s="2">
        <v>26516.1</v>
      </c>
      <c r="G12" s="2">
        <v>732</v>
      </c>
      <c r="H12" s="2">
        <v>5942</v>
      </c>
      <c r="I12" s="2" t="s">
        <v>20</v>
      </c>
    </row>
    <row r="13" spans="1:9" ht="19" x14ac:dyDescent="0.2">
      <c r="A13" s="2">
        <v>12</v>
      </c>
      <c r="B13" s="2" t="s">
        <v>21</v>
      </c>
      <c r="C13" s="2">
        <v>687</v>
      </c>
      <c r="D13" s="2">
        <v>229</v>
      </c>
      <c r="E13" s="2">
        <v>243</v>
      </c>
      <c r="F13" s="2">
        <v>26751.3</v>
      </c>
      <c r="G13" s="2">
        <v>732</v>
      </c>
      <c r="H13" s="2">
        <v>5942</v>
      </c>
      <c r="I13" s="2" t="s">
        <v>20</v>
      </c>
    </row>
    <row r="14" spans="1:9" ht="19" x14ac:dyDescent="0.2">
      <c r="A14" s="2">
        <v>13</v>
      </c>
      <c r="B14" s="2" t="s">
        <v>21</v>
      </c>
      <c r="C14" s="2">
        <v>687</v>
      </c>
      <c r="D14" s="2">
        <v>229</v>
      </c>
      <c r="E14" s="2">
        <v>243</v>
      </c>
      <c r="F14" s="2">
        <v>26649.1</v>
      </c>
      <c r="G14" s="2">
        <v>732</v>
      </c>
      <c r="H14" s="2">
        <v>5942</v>
      </c>
      <c r="I14" s="2" t="s">
        <v>20</v>
      </c>
    </row>
    <row r="15" spans="1:9" ht="19" x14ac:dyDescent="0.2">
      <c r="A15" s="2">
        <v>14</v>
      </c>
      <c r="B15" s="2" t="s">
        <v>21</v>
      </c>
      <c r="C15" s="2">
        <v>687</v>
      </c>
      <c r="D15" s="2">
        <v>229</v>
      </c>
      <c r="E15" s="2">
        <v>243</v>
      </c>
      <c r="F15" s="2">
        <v>26617.1</v>
      </c>
      <c r="G15" s="2">
        <v>732</v>
      </c>
      <c r="H15" s="2">
        <v>5942</v>
      </c>
      <c r="I15" s="2" t="s">
        <v>20</v>
      </c>
    </row>
    <row r="16" spans="1:9" ht="19" x14ac:dyDescent="0.2">
      <c r="A16" s="2">
        <v>15</v>
      </c>
      <c r="B16" s="2" t="s">
        <v>21</v>
      </c>
      <c r="C16" s="2">
        <v>687</v>
      </c>
      <c r="D16" s="2">
        <v>229</v>
      </c>
      <c r="E16" s="2">
        <v>243</v>
      </c>
      <c r="F16" s="2">
        <v>26426</v>
      </c>
      <c r="G16" s="2">
        <v>732</v>
      </c>
      <c r="H16" s="2">
        <v>5942</v>
      </c>
      <c r="I16" s="2" t="s">
        <v>20</v>
      </c>
    </row>
    <row r="17" spans="1:9" ht="19" x14ac:dyDescent="0.2">
      <c r="A17" s="2">
        <v>16</v>
      </c>
      <c r="B17" s="2" t="s">
        <v>21</v>
      </c>
      <c r="C17" s="2">
        <v>687</v>
      </c>
      <c r="D17" s="2">
        <v>229</v>
      </c>
      <c r="E17" s="2">
        <v>243</v>
      </c>
      <c r="F17" s="2">
        <v>26586.2</v>
      </c>
      <c r="G17" s="2">
        <v>732</v>
      </c>
      <c r="H17" s="2">
        <v>5942</v>
      </c>
      <c r="I17" s="2" t="s">
        <v>20</v>
      </c>
    </row>
    <row r="18" spans="1:9" ht="19" x14ac:dyDescent="0.2">
      <c r="A18" s="2">
        <v>17</v>
      </c>
      <c r="B18" s="2" t="s">
        <v>21</v>
      </c>
      <c r="C18" s="2">
        <v>687</v>
      </c>
      <c r="D18" s="2">
        <v>229</v>
      </c>
      <c r="E18" s="2">
        <v>243</v>
      </c>
      <c r="F18" s="2">
        <v>26676.2</v>
      </c>
      <c r="G18" s="2">
        <v>732</v>
      </c>
      <c r="H18" s="2">
        <v>5942</v>
      </c>
      <c r="I18" s="2" t="s">
        <v>20</v>
      </c>
    </row>
    <row r="19" spans="1:9" ht="19" x14ac:dyDescent="0.2">
      <c r="A19" s="2">
        <v>18</v>
      </c>
      <c r="B19" s="2" t="s">
        <v>21</v>
      </c>
      <c r="C19" s="2">
        <v>687</v>
      </c>
      <c r="D19" s="2">
        <v>229</v>
      </c>
      <c r="E19" s="2">
        <v>243</v>
      </c>
      <c r="F19" s="2">
        <v>26562.1</v>
      </c>
      <c r="G19" s="2">
        <v>732</v>
      </c>
      <c r="H19" s="2">
        <v>5942</v>
      </c>
      <c r="I19" s="2" t="s">
        <v>20</v>
      </c>
    </row>
    <row r="20" spans="1:9" ht="19" x14ac:dyDescent="0.2">
      <c r="A20" s="2">
        <v>19</v>
      </c>
      <c r="B20" s="2" t="s">
        <v>21</v>
      </c>
      <c r="C20" s="2">
        <v>687</v>
      </c>
      <c r="D20" s="2">
        <v>229</v>
      </c>
      <c r="E20" s="2">
        <v>243</v>
      </c>
      <c r="F20" s="2">
        <v>26804.5</v>
      </c>
      <c r="G20" s="2">
        <v>732</v>
      </c>
      <c r="H20" s="2">
        <v>5942</v>
      </c>
      <c r="I20" s="2" t="s">
        <v>20</v>
      </c>
    </row>
    <row r="21" spans="1:9" ht="19" x14ac:dyDescent="0.2">
      <c r="A21" s="2">
        <v>20</v>
      </c>
      <c r="B21" s="2" t="s">
        <v>21</v>
      </c>
      <c r="C21" s="2">
        <v>687</v>
      </c>
      <c r="D21" s="2">
        <v>229</v>
      </c>
      <c r="E21" s="2">
        <v>243</v>
      </c>
      <c r="F21" s="2">
        <v>26611.1</v>
      </c>
      <c r="G21" s="2">
        <v>732</v>
      </c>
      <c r="H21" s="2">
        <v>5942</v>
      </c>
      <c r="I21" s="2" t="s">
        <v>20</v>
      </c>
    </row>
    <row r="22" spans="1:9" ht="19" x14ac:dyDescent="0.2">
      <c r="A22" s="2">
        <v>21</v>
      </c>
      <c r="B22" s="2" t="s">
        <v>21</v>
      </c>
      <c r="C22" s="2">
        <v>687</v>
      </c>
      <c r="D22" s="2">
        <v>229</v>
      </c>
      <c r="E22" s="2">
        <v>243</v>
      </c>
      <c r="F22" s="2">
        <v>26843.5</v>
      </c>
      <c r="G22" s="2">
        <v>732</v>
      </c>
      <c r="H22" s="2">
        <v>5942</v>
      </c>
      <c r="I22" s="2" t="s">
        <v>20</v>
      </c>
    </row>
    <row r="23" spans="1:9" ht="19" x14ac:dyDescent="0.2">
      <c r="A23" s="2">
        <v>22</v>
      </c>
      <c r="B23" s="2" t="s">
        <v>21</v>
      </c>
      <c r="C23" s="2">
        <v>687</v>
      </c>
      <c r="D23" s="2">
        <v>229</v>
      </c>
      <c r="E23" s="2">
        <v>243</v>
      </c>
      <c r="F23" s="2">
        <v>26564.2</v>
      </c>
      <c r="G23" s="2">
        <v>732</v>
      </c>
      <c r="H23" s="2">
        <v>5942</v>
      </c>
      <c r="I23" s="2" t="s">
        <v>20</v>
      </c>
    </row>
    <row r="24" spans="1:9" ht="19" x14ac:dyDescent="0.2">
      <c r="A24" s="2">
        <v>23</v>
      </c>
      <c r="B24" s="2" t="s">
        <v>21</v>
      </c>
      <c r="C24" s="2">
        <v>687</v>
      </c>
      <c r="D24" s="2">
        <v>229</v>
      </c>
      <c r="E24" s="2">
        <v>243</v>
      </c>
      <c r="F24" s="2">
        <v>26501.8</v>
      </c>
      <c r="G24" s="2">
        <v>732</v>
      </c>
      <c r="H24" s="2">
        <v>5942</v>
      </c>
      <c r="I24" s="2" t="s">
        <v>20</v>
      </c>
    </row>
    <row r="25" spans="1:9" ht="19" x14ac:dyDescent="0.2">
      <c r="A25" s="2">
        <v>24</v>
      </c>
      <c r="B25" s="2" t="s">
        <v>21</v>
      </c>
      <c r="C25" s="2">
        <v>687</v>
      </c>
      <c r="D25" s="2">
        <v>229</v>
      </c>
      <c r="E25" s="2">
        <v>243</v>
      </c>
      <c r="F25" s="2">
        <v>26665.200000000001</v>
      </c>
      <c r="G25" s="2">
        <v>732</v>
      </c>
      <c r="H25" s="2">
        <v>5942</v>
      </c>
      <c r="I25" s="2" t="s">
        <v>20</v>
      </c>
    </row>
    <row r="26" spans="1:9" ht="19" x14ac:dyDescent="0.2">
      <c r="A26" s="2">
        <v>25</v>
      </c>
      <c r="B26" s="2" t="s">
        <v>21</v>
      </c>
      <c r="C26" s="2">
        <v>687</v>
      </c>
      <c r="D26" s="2">
        <v>229</v>
      </c>
      <c r="E26" s="2">
        <v>243</v>
      </c>
      <c r="F26" s="2">
        <v>26744.2</v>
      </c>
      <c r="G26" s="2">
        <v>732</v>
      </c>
      <c r="H26" s="2">
        <v>5942</v>
      </c>
      <c r="I26" s="2" t="s">
        <v>20</v>
      </c>
    </row>
    <row r="27" spans="1:9" ht="19" x14ac:dyDescent="0.2">
      <c r="A27" s="2">
        <v>26</v>
      </c>
      <c r="B27" s="2" t="s">
        <v>22</v>
      </c>
      <c r="C27" s="2">
        <v>687</v>
      </c>
      <c r="D27" s="2">
        <v>229</v>
      </c>
      <c r="E27" s="2">
        <v>243</v>
      </c>
      <c r="F27" s="2">
        <v>26045.9</v>
      </c>
      <c r="G27" s="2">
        <v>732</v>
      </c>
      <c r="H27" s="2">
        <v>5942</v>
      </c>
      <c r="I27" s="2" t="s">
        <v>20</v>
      </c>
    </row>
    <row r="28" spans="1:9" ht="19" x14ac:dyDescent="0.2">
      <c r="A28" s="2">
        <v>27</v>
      </c>
      <c r="B28" s="2" t="s">
        <v>22</v>
      </c>
      <c r="C28" s="2">
        <v>687</v>
      </c>
      <c r="D28" s="2">
        <v>229</v>
      </c>
      <c r="E28" s="2">
        <v>243</v>
      </c>
      <c r="F28" s="2">
        <v>26176.7</v>
      </c>
      <c r="G28" s="2">
        <v>732</v>
      </c>
      <c r="H28" s="2">
        <v>5942</v>
      </c>
      <c r="I28" s="2" t="s">
        <v>20</v>
      </c>
    </row>
    <row r="29" spans="1:9" ht="19" x14ac:dyDescent="0.2">
      <c r="A29" s="2">
        <v>28</v>
      </c>
      <c r="B29" s="2" t="s">
        <v>22</v>
      </c>
      <c r="C29" s="2">
        <v>687</v>
      </c>
      <c r="D29" s="2">
        <v>229</v>
      </c>
      <c r="E29" s="2">
        <v>243</v>
      </c>
      <c r="F29" s="2">
        <v>26038.7</v>
      </c>
      <c r="G29" s="2">
        <v>732</v>
      </c>
      <c r="H29" s="2">
        <v>5942</v>
      </c>
      <c r="I29" s="2" t="s">
        <v>20</v>
      </c>
    </row>
    <row r="30" spans="1:9" ht="19" x14ac:dyDescent="0.2">
      <c r="A30" s="2">
        <v>29</v>
      </c>
      <c r="B30" s="2" t="s">
        <v>22</v>
      </c>
      <c r="C30" s="2">
        <v>687</v>
      </c>
      <c r="D30" s="2">
        <v>229</v>
      </c>
      <c r="E30" s="2">
        <v>243</v>
      </c>
      <c r="F30" s="2">
        <v>26289.1</v>
      </c>
      <c r="G30" s="2">
        <v>732</v>
      </c>
      <c r="H30" s="2">
        <v>5942</v>
      </c>
      <c r="I30" s="2" t="s">
        <v>20</v>
      </c>
    </row>
    <row r="31" spans="1:9" ht="19" x14ac:dyDescent="0.2">
      <c r="A31" s="2">
        <v>30</v>
      </c>
      <c r="B31" s="2" t="s">
        <v>22</v>
      </c>
      <c r="C31" s="2">
        <v>687</v>
      </c>
      <c r="D31" s="2">
        <v>229</v>
      </c>
      <c r="E31" s="2">
        <v>243</v>
      </c>
      <c r="F31" s="2">
        <v>26149.8</v>
      </c>
      <c r="G31" s="2">
        <v>732</v>
      </c>
      <c r="H31" s="2">
        <v>5942</v>
      </c>
      <c r="I31" s="2" t="s">
        <v>20</v>
      </c>
    </row>
    <row r="32" spans="1:9" ht="19" x14ac:dyDescent="0.2">
      <c r="A32" s="2">
        <v>31</v>
      </c>
      <c r="B32" s="2" t="s">
        <v>22</v>
      </c>
      <c r="C32" s="2">
        <v>687</v>
      </c>
      <c r="D32" s="2">
        <v>229</v>
      </c>
      <c r="E32" s="2">
        <v>243</v>
      </c>
      <c r="F32" s="2">
        <v>26198.9</v>
      </c>
      <c r="G32" s="2">
        <v>732</v>
      </c>
      <c r="H32" s="2">
        <v>5942</v>
      </c>
      <c r="I32" s="2" t="s">
        <v>20</v>
      </c>
    </row>
    <row r="33" spans="1:9" ht="19" x14ac:dyDescent="0.2">
      <c r="A33" s="2">
        <v>32</v>
      </c>
      <c r="B33" s="2" t="s">
        <v>23</v>
      </c>
      <c r="C33" s="2">
        <v>687</v>
      </c>
      <c r="D33" s="2">
        <v>229</v>
      </c>
      <c r="E33" s="2">
        <v>243</v>
      </c>
      <c r="F33" s="2">
        <v>26025.599999999999</v>
      </c>
      <c r="G33" s="2">
        <v>732</v>
      </c>
      <c r="H33" s="2">
        <v>5942</v>
      </c>
      <c r="I33" s="2" t="s">
        <v>20</v>
      </c>
    </row>
    <row r="34" spans="1:9" ht="19" x14ac:dyDescent="0.2">
      <c r="A34" s="2">
        <v>33</v>
      </c>
      <c r="B34" s="2" t="s">
        <v>23</v>
      </c>
      <c r="C34" s="2">
        <v>687</v>
      </c>
      <c r="D34" s="2">
        <v>229</v>
      </c>
      <c r="E34" s="2">
        <v>243</v>
      </c>
      <c r="F34" s="2">
        <v>26185.9</v>
      </c>
      <c r="G34" s="2">
        <v>732</v>
      </c>
      <c r="H34" s="2">
        <v>5942</v>
      </c>
      <c r="I34" s="2" t="s">
        <v>20</v>
      </c>
    </row>
    <row r="35" spans="1:9" ht="19" x14ac:dyDescent="0.2">
      <c r="A35" s="2">
        <v>34</v>
      </c>
      <c r="B35" s="2" t="s">
        <v>23</v>
      </c>
      <c r="C35" s="2">
        <v>687</v>
      </c>
      <c r="D35" s="2">
        <v>229</v>
      </c>
      <c r="E35" s="2">
        <v>243</v>
      </c>
      <c r="F35" s="2">
        <v>26368.2</v>
      </c>
      <c r="G35" s="2">
        <v>732</v>
      </c>
      <c r="H35" s="2">
        <v>5942</v>
      </c>
      <c r="I35" s="2" t="s">
        <v>20</v>
      </c>
    </row>
    <row r="36" spans="1:9" ht="19" x14ac:dyDescent="0.2">
      <c r="A36" s="2">
        <v>35</v>
      </c>
      <c r="B36" s="2" t="s">
        <v>23</v>
      </c>
      <c r="C36" s="2">
        <v>687</v>
      </c>
      <c r="D36" s="2">
        <v>229</v>
      </c>
      <c r="E36" s="2">
        <v>243</v>
      </c>
      <c r="F36" s="2">
        <v>25914.6</v>
      </c>
      <c r="G36" s="2">
        <v>732</v>
      </c>
      <c r="H36" s="2">
        <v>5942</v>
      </c>
      <c r="I36" s="2" t="s">
        <v>20</v>
      </c>
    </row>
    <row r="37" spans="1:9" ht="19" x14ac:dyDescent="0.2">
      <c r="A37" s="2">
        <v>36</v>
      </c>
      <c r="B37" s="2" t="s">
        <v>23</v>
      </c>
      <c r="C37" s="2">
        <v>687</v>
      </c>
      <c r="D37" s="2">
        <v>229</v>
      </c>
      <c r="E37" s="2">
        <v>243</v>
      </c>
      <c r="F37" s="2">
        <v>26124.7</v>
      </c>
      <c r="G37" s="2">
        <v>732</v>
      </c>
      <c r="H37" s="2">
        <v>5942</v>
      </c>
      <c r="I37" s="2" t="s">
        <v>20</v>
      </c>
    </row>
    <row r="38" spans="1:9" ht="19" x14ac:dyDescent="0.2">
      <c r="A38" s="2">
        <v>37</v>
      </c>
      <c r="B38" s="2" t="s">
        <v>23</v>
      </c>
      <c r="C38" s="2">
        <v>687</v>
      </c>
      <c r="D38" s="2">
        <v>229</v>
      </c>
      <c r="E38" s="2">
        <v>243</v>
      </c>
      <c r="F38" s="2">
        <v>26032.7</v>
      </c>
      <c r="G38" s="2">
        <v>732</v>
      </c>
      <c r="H38" s="2">
        <v>5942</v>
      </c>
      <c r="I38" s="2" t="s">
        <v>20</v>
      </c>
    </row>
    <row r="39" spans="1:9" ht="19" x14ac:dyDescent="0.2">
      <c r="A39" s="2">
        <v>38</v>
      </c>
      <c r="B39" s="2" t="s">
        <v>23</v>
      </c>
      <c r="C39" s="2">
        <v>687</v>
      </c>
      <c r="D39" s="2">
        <v>229</v>
      </c>
      <c r="E39" s="2">
        <v>243</v>
      </c>
      <c r="F39" s="2">
        <v>26333.9</v>
      </c>
      <c r="G39" s="2">
        <v>732</v>
      </c>
      <c r="H39" s="2">
        <v>5942</v>
      </c>
      <c r="I39" s="2" t="s">
        <v>20</v>
      </c>
    </row>
    <row r="40" spans="1:9" ht="19" x14ac:dyDescent="0.2">
      <c r="A40" s="2">
        <v>39</v>
      </c>
      <c r="B40" s="2" t="s">
        <v>23</v>
      </c>
      <c r="C40" s="2">
        <v>687</v>
      </c>
      <c r="D40" s="2">
        <v>229</v>
      </c>
      <c r="E40" s="2">
        <v>243</v>
      </c>
      <c r="F40" s="2">
        <v>26202.9</v>
      </c>
      <c r="G40" s="2">
        <v>732</v>
      </c>
      <c r="H40" s="2">
        <v>5942</v>
      </c>
      <c r="I40" s="2" t="s">
        <v>20</v>
      </c>
    </row>
    <row r="41" spans="1:9" ht="19" x14ac:dyDescent="0.2">
      <c r="A41" s="2">
        <v>40</v>
      </c>
      <c r="B41" s="2" t="s">
        <v>23</v>
      </c>
      <c r="C41" s="2">
        <v>687</v>
      </c>
      <c r="D41" s="2">
        <v>229</v>
      </c>
      <c r="E41" s="2">
        <v>243</v>
      </c>
      <c r="F41" s="2">
        <v>25938.7</v>
      </c>
      <c r="G41" s="2">
        <v>732</v>
      </c>
      <c r="H41" s="2">
        <v>5942</v>
      </c>
      <c r="I41" s="2" t="s">
        <v>20</v>
      </c>
    </row>
    <row r="42" spans="1:9" ht="19" x14ac:dyDescent="0.2">
      <c r="A42" s="2">
        <v>41</v>
      </c>
      <c r="B42" s="2" t="s">
        <v>23</v>
      </c>
      <c r="C42" s="2">
        <v>687</v>
      </c>
      <c r="D42" s="2">
        <v>229</v>
      </c>
      <c r="E42" s="2">
        <v>243</v>
      </c>
      <c r="F42" s="2">
        <v>26280.1</v>
      </c>
      <c r="G42" s="2">
        <v>732</v>
      </c>
      <c r="H42" s="2">
        <v>5942</v>
      </c>
      <c r="I42" s="2" t="s">
        <v>20</v>
      </c>
    </row>
    <row r="43" spans="1:9" ht="19" x14ac:dyDescent="0.2">
      <c r="A43" s="2">
        <v>42</v>
      </c>
      <c r="B43" s="2" t="s">
        <v>23</v>
      </c>
      <c r="C43" s="2">
        <v>687</v>
      </c>
      <c r="D43" s="2">
        <v>229</v>
      </c>
      <c r="E43" s="2">
        <v>243</v>
      </c>
      <c r="F43" s="2">
        <v>26300.799999999999</v>
      </c>
      <c r="G43" s="2">
        <v>732</v>
      </c>
      <c r="H43" s="2">
        <v>5942</v>
      </c>
      <c r="I43" s="2" t="s">
        <v>20</v>
      </c>
    </row>
    <row r="44" spans="1:9" ht="19" x14ac:dyDescent="0.2">
      <c r="A44" s="2">
        <v>43</v>
      </c>
      <c r="B44" s="2" t="s">
        <v>23</v>
      </c>
      <c r="C44" s="2">
        <v>687</v>
      </c>
      <c r="D44" s="2">
        <v>229</v>
      </c>
      <c r="E44" s="2">
        <v>243</v>
      </c>
      <c r="F44" s="2">
        <v>26165.9</v>
      </c>
      <c r="G44" s="2">
        <v>732</v>
      </c>
      <c r="H44" s="2">
        <v>5942</v>
      </c>
      <c r="I44" s="2" t="s">
        <v>20</v>
      </c>
    </row>
    <row r="45" spans="1:9" ht="19" x14ac:dyDescent="0.2">
      <c r="A45" s="2">
        <v>44</v>
      </c>
      <c r="B45" s="2" t="s">
        <v>23</v>
      </c>
      <c r="C45" s="2">
        <v>687</v>
      </c>
      <c r="D45" s="2">
        <v>229</v>
      </c>
      <c r="E45" s="2">
        <v>243</v>
      </c>
      <c r="F45" s="2">
        <v>26350</v>
      </c>
      <c r="G45" s="2">
        <v>732</v>
      </c>
      <c r="H45" s="2">
        <v>5942</v>
      </c>
      <c r="I45" s="2" t="s">
        <v>20</v>
      </c>
    </row>
    <row r="46" spans="1:9" ht="19" x14ac:dyDescent="0.2">
      <c r="A46" s="2">
        <v>45</v>
      </c>
      <c r="B46" s="2" t="s">
        <v>23</v>
      </c>
      <c r="C46" s="2">
        <v>687</v>
      </c>
      <c r="D46" s="2">
        <v>229</v>
      </c>
      <c r="E46" s="2">
        <v>243</v>
      </c>
      <c r="F46" s="2">
        <v>26309</v>
      </c>
      <c r="G46" s="2">
        <v>732</v>
      </c>
      <c r="H46" s="2">
        <v>5942</v>
      </c>
      <c r="I46" s="2" t="s">
        <v>20</v>
      </c>
    </row>
    <row r="47" spans="1:9" ht="19" x14ac:dyDescent="0.2">
      <c r="A47" s="2">
        <v>46</v>
      </c>
      <c r="B47" s="2" t="s">
        <v>23</v>
      </c>
      <c r="C47" s="2">
        <v>687</v>
      </c>
      <c r="D47" s="2">
        <v>229</v>
      </c>
      <c r="E47" s="2">
        <v>243</v>
      </c>
      <c r="F47" s="2">
        <v>26212</v>
      </c>
      <c r="G47" s="2">
        <v>732</v>
      </c>
      <c r="H47" s="2">
        <v>5942</v>
      </c>
      <c r="I47" s="2" t="s">
        <v>20</v>
      </c>
    </row>
    <row r="48" spans="1:9" ht="19" x14ac:dyDescent="0.2">
      <c r="A48" s="2">
        <v>47</v>
      </c>
      <c r="B48" s="2" t="s">
        <v>23</v>
      </c>
      <c r="C48" s="2">
        <v>687</v>
      </c>
      <c r="D48" s="2">
        <v>229</v>
      </c>
      <c r="E48" s="2">
        <v>243</v>
      </c>
      <c r="F48" s="2">
        <v>26388.9</v>
      </c>
      <c r="G48" s="2">
        <v>732</v>
      </c>
      <c r="H48" s="2">
        <v>5942</v>
      </c>
      <c r="I48" s="2" t="s">
        <v>20</v>
      </c>
    </row>
    <row r="49" spans="1:9" ht="19" x14ac:dyDescent="0.2">
      <c r="A49" s="2">
        <v>48</v>
      </c>
      <c r="B49" s="2" t="s">
        <v>23</v>
      </c>
      <c r="C49" s="2">
        <v>687</v>
      </c>
      <c r="D49" s="2">
        <v>229</v>
      </c>
      <c r="E49" s="2">
        <v>243</v>
      </c>
      <c r="F49" s="2">
        <v>26413.200000000001</v>
      </c>
      <c r="G49" s="2">
        <v>732</v>
      </c>
      <c r="H49" s="2">
        <v>5942</v>
      </c>
      <c r="I49" s="2" t="s">
        <v>20</v>
      </c>
    </row>
    <row r="50" spans="1:9" ht="19" x14ac:dyDescent="0.2">
      <c r="A50" s="2">
        <v>49</v>
      </c>
      <c r="B50" s="2" t="s">
        <v>23</v>
      </c>
      <c r="C50" s="2">
        <v>687</v>
      </c>
      <c r="D50" s="2">
        <v>229</v>
      </c>
      <c r="E50" s="2">
        <v>243</v>
      </c>
      <c r="F50" s="2">
        <v>26029.8</v>
      </c>
      <c r="G50" s="2">
        <v>732</v>
      </c>
      <c r="H50" s="2">
        <v>5942</v>
      </c>
      <c r="I50" s="2" t="s">
        <v>20</v>
      </c>
    </row>
    <row r="51" spans="1:9" ht="19" x14ac:dyDescent="0.2">
      <c r="A51" s="2">
        <v>50</v>
      </c>
      <c r="B51" s="2" t="s">
        <v>23</v>
      </c>
      <c r="C51" s="2">
        <v>687</v>
      </c>
      <c r="D51" s="2">
        <v>229</v>
      </c>
      <c r="E51" s="2">
        <v>243</v>
      </c>
      <c r="F51" s="2">
        <v>26038.7</v>
      </c>
      <c r="G51" s="2">
        <v>732</v>
      </c>
      <c r="H51" s="2">
        <v>5942</v>
      </c>
      <c r="I51" s="2" t="s">
        <v>20</v>
      </c>
    </row>
    <row r="52" spans="1:9" ht="19" x14ac:dyDescent="0.2">
      <c r="A52" s="2">
        <v>51</v>
      </c>
      <c r="B52" s="2" t="s">
        <v>23</v>
      </c>
      <c r="C52" s="2">
        <v>687</v>
      </c>
      <c r="D52" s="2">
        <v>229</v>
      </c>
      <c r="E52" s="2">
        <v>243</v>
      </c>
      <c r="F52" s="2">
        <v>25854.6</v>
      </c>
      <c r="G52" s="2">
        <v>732</v>
      </c>
      <c r="H52" s="2">
        <v>5942</v>
      </c>
      <c r="I52" s="2" t="s">
        <v>20</v>
      </c>
    </row>
    <row r="53" spans="1:9" ht="19" x14ac:dyDescent="0.2">
      <c r="A53" s="2">
        <v>52</v>
      </c>
      <c r="B53" s="2" t="s">
        <v>23</v>
      </c>
      <c r="C53" s="2">
        <v>687</v>
      </c>
      <c r="D53" s="2">
        <v>229</v>
      </c>
      <c r="E53" s="2">
        <v>243</v>
      </c>
      <c r="F53" s="2">
        <v>26149.8</v>
      </c>
      <c r="G53" s="2">
        <v>732</v>
      </c>
      <c r="H53" s="2">
        <v>5942</v>
      </c>
      <c r="I53" s="2" t="s">
        <v>20</v>
      </c>
    </row>
    <row r="54" spans="1:9" ht="19" x14ac:dyDescent="0.2">
      <c r="A54" s="2">
        <v>53</v>
      </c>
      <c r="B54" s="2" t="s">
        <v>23</v>
      </c>
      <c r="C54" s="2">
        <v>687</v>
      </c>
      <c r="D54" s="2">
        <v>229</v>
      </c>
      <c r="E54" s="2">
        <v>243</v>
      </c>
      <c r="F54" s="2">
        <v>26601.599999999999</v>
      </c>
      <c r="G54" s="2">
        <v>732</v>
      </c>
      <c r="H54" s="2">
        <v>5942</v>
      </c>
      <c r="I54" s="2" t="s">
        <v>20</v>
      </c>
    </row>
    <row r="55" spans="1:9" ht="19" x14ac:dyDescent="0.2">
      <c r="A55" s="2">
        <v>54</v>
      </c>
      <c r="B55" s="2" t="s">
        <v>23</v>
      </c>
      <c r="C55" s="2">
        <v>687</v>
      </c>
      <c r="D55" s="2">
        <v>229</v>
      </c>
      <c r="E55" s="2">
        <v>243</v>
      </c>
      <c r="F55" s="2">
        <v>26563.5</v>
      </c>
      <c r="G55" s="2">
        <v>732</v>
      </c>
      <c r="H55" s="2">
        <v>5942</v>
      </c>
      <c r="I55" s="2" t="s">
        <v>20</v>
      </c>
    </row>
    <row r="56" spans="1:9" ht="19" x14ac:dyDescent="0.2">
      <c r="A56" s="2">
        <v>55</v>
      </c>
      <c r="B56" s="2" t="s">
        <v>23</v>
      </c>
      <c r="C56" s="2">
        <v>687</v>
      </c>
      <c r="D56" s="2">
        <v>229</v>
      </c>
      <c r="E56" s="2">
        <v>243</v>
      </c>
      <c r="F56" s="2">
        <v>26626.3</v>
      </c>
      <c r="G56" s="2">
        <v>732</v>
      </c>
      <c r="H56" s="2">
        <v>5942</v>
      </c>
      <c r="I56" s="2" t="s">
        <v>20</v>
      </c>
    </row>
    <row r="57" spans="1:9" ht="19" x14ac:dyDescent="0.2">
      <c r="A57" s="2">
        <v>56</v>
      </c>
      <c r="B57" s="2" t="s">
        <v>23</v>
      </c>
      <c r="C57" s="2">
        <v>687</v>
      </c>
      <c r="D57" s="2">
        <v>229</v>
      </c>
      <c r="E57" s="2">
        <v>243</v>
      </c>
      <c r="F57" s="2">
        <v>26715.5</v>
      </c>
      <c r="G57" s="2">
        <v>732</v>
      </c>
      <c r="H57" s="2">
        <v>5942</v>
      </c>
      <c r="I57" s="2" t="s">
        <v>20</v>
      </c>
    </row>
    <row r="58" spans="1:9" ht="19" x14ac:dyDescent="0.2">
      <c r="A58" s="2">
        <v>57</v>
      </c>
      <c r="B58" s="2" t="s">
        <v>23</v>
      </c>
      <c r="C58" s="2">
        <v>687</v>
      </c>
      <c r="D58" s="2">
        <v>229</v>
      </c>
      <c r="E58" s="2">
        <v>243</v>
      </c>
      <c r="F58" s="2">
        <v>26607.200000000001</v>
      </c>
      <c r="G58" s="2">
        <v>732</v>
      </c>
      <c r="H58" s="2">
        <v>5942</v>
      </c>
      <c r="I58" s="2" t="s">
        <v>20</v>
      </c>
    </row>
    <row r="59" spans="1:9" ht="19" x14ac:dyDescent="0.2">
      <c r="A59" s="2">
        <v>58</v>
      </c>
      <c r="B59" s="2" t="s">
        <v>23</v>
      </c>
      <c r="C59" s="2">
        <v>687</v>
      </c>
      <c r="D59" s="2">
        <v>229</v>
      </c>
      <c r="E59" s="2">
        <v>243</v>
      </c>
      <c r="F59" s="2">
        <v>26684.3</v>
      </c>
      <c r="G59" s="2">
        <v>732</v>
      </c>
      <c r="H59" s="2">
        <v>5942</v>
      </c>
      <c r="I59" s="2" t="s">
        <v>20</v>
      </c>
    </row>
    <row r="60" spans="1:9" ht="19" x14ac:dyDescent="0.2">
      <c r="A60" s="2">
        <v>59</v>
      </c>
      <c r="B60" s="2" t="s">
        <v>23</v>
      </c>
      <c r="C60" s="2">
        <v>687</v>
      </c>
      <c r="D60" s="2">
        <v>229</v>
      </c>
      <c r="E60" s="2">
        <v>243</v>
      </c>
      <c r="F60" s="2">
        <v>26448.2</v>
      </c>
      <c r="G60" s="2">
        <v>732</v>
      </c>
      <c r="H60" s="2">
        <v>5942</v>
      </c>
      <c r="I60" s="2" t="s">
        <v>20</v>
      </c>
    </row>
    <row r="61" spans="1:9" ht="19" x14ac:dyDescent="0.2">
      <c r="A61" s="2">
        <v>60</v>
      </c>
      <c r="B61" s="2" t="s">
        <v>23</v>
      </c>
      <c r="C61" s="2">
        <v>687</v>
      </c>
      <c r="D61" s="2">
        <v>229</v>
      </c>
      <c r="E61" s="2">
        <v>243</v>
      </c>
      <c r="F61" s="2">
        <v>26419.3</v>
      </c>
      <c r="G61" s="2">
        <v>732</v>
      </c>
      <c r="H61" s="2">
        <v>5942</v>
      </c>
      <c r="I61" s="2" t="s">
        <v>20</v>
      </c>
    </row>
    <row r="62" spans="1:9" ht="19" x14ac:dyDescent="0.2">
      <c r="A62" s="2">
        <v>61</v>
      </c>
      <c r="B62" s="2" t="s">
        <v>24</v>
      </c>
      <c r="C62" s="2">
        <v>687</v>
      </c>
      <c r="D62" s="2">
        <v>229</v>
      </c>
      <c r="E62" s="2">
        <v>243</v>
      </c>
      <c r="F62" s="2">
        <v>26340.9</v>
      </c>
      <c r="G62" s="2">
        <v>732</v>
      </c>
      <c r="H62" s="2">
        <v>5942</v>
      </c>
      <c r="I62" s="2" t="s">
        <v>20</v>
      </c>
    </row>
    <row r="63" spans="1:9" ht="19" x14ac:dyDescent="0.2">
      <c r="A63" s="2">
        <v>62</v>
      </c>
      <c r="B63" s="2" t="s">
        <v>24</v>
      </c>
      <c r="C63" s="2">
        <v>687</v>
      </c>
      <c r="D63" s="2">
        <v>229</v>
      </c>
      <c r="E63" s="2">
        <v>243</v>
      </c>
      <c r="F63" s="2">
        <v>26327</v>
      </c>
      <c r="G63" s="2">
        <v>732</v>
      </c>
      <c r="H63" s="2">
        <v>5942</v>
      </c>
      <c r="I63" s="2" t="s">
        <v>20</v>
      </c>
    </row>
    <row r="64" spans="1:9" ht="19" x14ac:dyDescent="0.2">
      <c r="A64" s="2">
        <v>63</v>
      </c>
      <c r="B64" s="2" t="s">
        <v>24</v>
      </c>
      <c r="C64" s="2">
        <v>687</v>
      </c>
      <c r="D64" s="2">
        <v>229</v>
      </c>
      <c r="E64" s="2">
        <v>243</v>
      </c>
      <c r="F64" s="2">
        <v>26354.3</v>
      </c>
      <c r="G64" s="2">
        <v>732</v>
      </c>
      <c r="H64" s="2">
        <v>5942</v>
      </c>
      <c r="I64" s="2" t="s">
        <v>20</v>
      </c>
    </row>
    <row r="65" spans="1:9" ht="19" x14ac:dyDescent="0.2">
      <c r="A65" s="2">
        <v>64</v>
      </c>
      <c r="B65" s="2" t="s">
        <v>25</v>
      </c>
      <c r="C65" s="2">
        <v>663</v>
      </c>
      <c r="D65" s="2">
        <v>221</v>
      </c>
      <c r="E65" s="2">
        <v>235</v>
      </c>
      <c r="F65" s="2">
        <v>25728.5</v>
      </c>
      <c r="G65" s="2">
        <v>708</v>
      </c>
      <c r="H65" s="2">
        <v>5918</v>
      </c>
      <c r="I65" s="2" t="s">
        <v>20</v>
      </c>
    </row>
    <row r="66" spans="1:9" ht="19" x14ac:dyDescent="0.2">
      <c r="A66" s="2">
        <v>65</v>
      </c>
      <c r="B66" s="2" t="s">
        <v>25</v>
      </c>
      <c r="C66" s="2">
        <v>663</v>
      </c>
      <c r="D66" s="2">
        <v>221</v>
      </c>
      <c r="E66" s="2">
        <v>235</v>
      </c>
      <c r="F66" s="2">
        <v>25758.5</v>
      </c>
      <c r="G66" s="2">
        <v>708</v>
      </c>
      <c r="H66" s="2">
        <v>5918</v>
      </c>
      <c r="I66" s="2" t="s">
        <v>20</v>
      </c>
    </row>
    <row r="67" spans="1:9" ht="19" x14ac:dyDescent="0.2">
      <c r="A67" s="2">
        <v>66</v>
      </c>
      <c r="B67" s="2" t="s">
        <v>25</v>
      </c>
      <c r="C67" s="2">
        <v>663</v>
      </c>
      <c r="D67" s="2">
        <v>221</v>
      </c>
      <c r="E67" s="2">
        <v>235</v>
      </c>
      <c r="F67" s="2">
        <v>25719.8</v>
      </c>
      <c r="G67" s="2">
        <v>708</v>
      </c>
      <c r="H67" s="2">
        <v>5918</v>
      </c>
      <c r="I67" s="2" t="s">
        <v>20</v>
      </c>
    </row>
    <row r="68" spans="1:9" ht="19" x14ac:dyDescent="0.2">
      <c r="A68" s="2">
        <v>67</v>
      </c>
      <c r="B68" s="2" t="s">
        <v>25</v>
      </c>
      <c r="C68" s="2">
        <v>663</v>
      </c>
      <c r="D68" s="2">
        <v>221</v>
      </c>
      <c r="E68" s="2">
        <v>235</v>
      </c>
      <c r="F68" s="2">
        <v>25738.799999999999</v>
      </c>
      <c r="G68" s="2">
        <v>708</v>
      </c>
      <c r="H68" s="2">
        <v>5918</v>
      </c>
      <c r="I68" s="2" t="s">
        <v>20</v>
      </c>
    </row>
    <row r="69" spans="1:9" ht="19" x14ac:dyDescent="0.2">
      <c r="A69" s="2">
        <v>68</v>
      </c>
      <c r="B69" s="2" t="s">
        <v>25</v>
      </c>
      <c r="C69" s="2">
        <v>663</v>
      </c>
      <c r="D69" s="2">
        <v>221</v>
      </c>
      <c r="E69" s="2">
        <v>235</v>
      </c>
      <c r="F69" s="2">
        <v>25396.9</v>
      </c>
      <c r="G69" s="2">
        <v>708</v>
      </c>
      <c r="H69" s="2">
        <v>5918</v>
      </c>
      <c r="I69" s="2" t="s">
        <v>20</v>
      </c>
    </row>
    <row r="70" spans="1:9" ht="19" x14ac:dyDescent="0.2">
      <c r="A70" s="2">
        <v>69</v>
      </c>
      <c r="B70" s="2" t="s">
        <v>25</v>
      </c>
      <c r="C70" s="2">
        <v>663</v>
      </c>
      <c r="D70" s="2">
        <v>221</v>
      </c>
      <c r="E70" s="2">
        <v>235</v>
      </c>
      <c r="F70" s="2">
        <v>25220.9</v>
      </c>
      <c r="G70" s="2">
        <v>708</v>
      </c>
      <c r="H70" s="2">
        <v>5918</v>
      </c>
      <c r="I70" s="2" t="s">
        <v>20</v>
      </c>
    </row>
    <row r="71" spans="1:9" ht="19" x14ac:dyDescent="0.2">
      <c r="A71" s="2">
        <v>70</v>
      </c>
      <c r="B71" s="2" t="s">
        <v>25</v>
      </c>
      <c r="C71" s="2">
        <v>663</v>
      </c>
      <c r="D71" s="2">
        <v>221</v>
      </c>
      <c r="E71" s="2">
        <v>235</v>
      </c>
      <c r="F71" s="2">
        <v>25464.2</v>
      </c>
      <c r="G71" s="2">
        <v>708</v>
      </c>
      <c r="H71" s="2">
        <v>5918</v>
      </c>
      <c r="I71" s="2" t="s">
        <v>20</v>
      </c>
    </row>
    <row r="72" spans="1:9" ht="19" x14ac:dyDescent="0.2">
      <c r="A72" s="2">
        <v>71</v>
      </c>
      <c r="B72" s="2" t="s">
        <v>25</v>
      </c>
      <c r="C72" s="2">
        <v>663</v>
      </c>
      <c r="D72" s="2">
        <v>221</v>
      </c>
      <c r="E72" s="2">
        <v>235</v>
      </c>
      <c r="F72" s="2">
        <v>25561.4</v>
      </c>
      <c r="G72" s="2">
        <v>708</v>
      </c>
      <c r="H72" s="2">
        <v>5918</v>
      </c>
      <c r="I72" s="2" t="s">
        <v>20</v>
      </c>
    </row>
    <row r="73" spans="1:9" ht="19" x14ac:dyDescent="0.2">
      <c r="A73" s="2">
        <v>72</v>
      </c>
      <c r="B73" s="2" t="s">
        <v>25</v>
      </c>
      <c r="C73" s="2">
        <v>663</v>
      </c>
      <c r="D73" s="2">
        <v>221</v>
      </c>
      <c r="E73" s="2">
        <v>235</v>
      </c>
      <c r="F73" s="2">
        <v>25685.599999999999</v>
      </c>
      <c r="G73" s="2">
        <v>708</v>
      </c>
      <c r="H73" s="2">
        <v>5918</v>
      </c>
      <c r="I73" s="2" t="s">
        <v>20</v>
      </c>
    </row>
    <row r="74" spans="1:9" ht="19" x14ac:dyDescent="0.2">
      <c r="A74" s="2">
        <v>73</v>
      </c>
      <c r="B74" s="2" t="s">
        <v>25</v>
      </c>
      <c r="C74" s="2">
        <v>663</v>
      </c>
      <c r="D74" s="2">
        <v>221</v>
      </c>
      <c r="E74" s="2">
        <v>235</v>
      </c>
      <c r="F74" s="2">
        <v>26062.9</v>
      </c>
      <c r="G74" s="2">
        <v>708</v>
      </c>
      <c r="H74" s="2">
        <v>5918</v>
      </c>
      <c r="I74" s="2" t="s">
        <v>20</v>
      </c>
    </row>
    <row r="75" spans="1:9" ht="19" x14ac:dyDescent="0.2">
      <c r="A75" s="2">
        <v>74</v>
      </c>
      <c r="B75" s="2" t="s">
        <v>26</v>
      </c>
      <c r="C75" s="2">
        <v>663</v>
      </c>
      <c r="D75" s="2">
        <v>221</v>
      </c>
      <c r="E75" s="2">
        <v>235</v>
      </c>
      <c r="F75" s="2">
        <v>25247.7</v>
      </c>
      <c r="G75" s="2">
        <v>708</v>
      </c>
      <c r="H75" s="2">
        <v>5918</v>
      </c>
      <c r="I75" s="2" t="s">
        <v>20</v>
      </c>
    </row>
    <row r="76" spans="1:9" ht="19" x14ac:dyDescent="0.2">
      <c r="A76" s="2">
        <v>75</v>
      </c>
      <c r="B76" s="2" t="s">
        <v>26</v>
      </c>
      <c r="C76" s="2">
        <v>663</v>
      </c>
      <c r="D76" s="2">
        <v>221</v>
      </c>
      <c r="E76" s="2">
        <v>235</v>
      </c>
      <c r="F76" s="2">
        <v>25453.9</v>
      </c>
      <c r="G76" s="2">
        <v>708</v>
      </c>
      <c r="H76" s="2">
        <v>5918</v>
      </c>
      <c r="I76" s="2" t="s">
        <v>20</v>
      </c>
    </row>
    <row r="77" spans="1:9" ht="19" x14ac:dyDescent="0.2">
      <c r="A77" s="2">
        <v>76</v>
      </c>
      <c r="B77" s="2" t="s">
        <v>26</v>
      </c>
      <c r="C77" s="2">
        <v>663</v>
      </c>
      <c r="D77" s="2">
        <v>221</v>
      </c>
      <c r="E77" s="2">
        <v>235</v>
      </c>
      <c r="F77" s="2">
        <v>24421.9</v>
      </c>
      <c r="G77" s="2">
        <v>708</v>
      </c>
      <c r="H77" s="2">
        <v>5918</v>
      </c>
      <c r="I77" s="2" t="s">
        <v>20</v>
      </c>
    </row>
    <row r="78" spans="1:9" ht="19" x14ac:dyDescent="0.2">
      <c r="A78" s="2">
        <v>77</v>
      </c>
      <c r="B78" s="2" t="s">
        <v>26</v>
      </c>
      <c r="C78" s="2">
        <v>663</v>
      </c>
      <c r="D78" s="2">
        <v>221</v>
      </c>
      <c r="E78" s="2">
        <v>235</v>
      </c>
      <c r="F78" s="2">
        <v>24769.200000000001</v>
      </c>
      <c r="G78" s="2">
        <v>708</v>
      </c>
      <c r="H78" s="2">
        <v>5918</v>
      </c>
      <c r="I78" s="2" t="s">
        <v>20</v>
      </c>
    </row>
    <row r="79" spans="1:9" ht="19" x14ac:dyDescent="0.2">
      <c r="A79" s="2">
        <v>78</v>
      </c>
      <c r="B79" s="2" t="s">
        <v>26</v>
      </c>
      <c r="C79" s="2">
        <v>663</v>
      </c>
      <c r="D79" s="2">
        <v>221</v>
      </c>
      <c r="E79" s="2">
        <v>235</v>
      </c>
      <c r="F79" s="2">
        <v>24775.3</v>
      </c>
      <c r="G79" s="2">
        <v>708</v>
      </c>
      <c r="H79" s="2">
        <v>5918</v>
      </c>
      <c r="I79" s="2" t="s">
        <v>20</v>
      </c>
    </row>
    <row r="80" spans="1:9" ht="19" x14ac:dyDescent="0.2">
      <c r="A80" s="2">
        <v>79</v>
      </c>
      <c r="B80" s="2" t="s">
        <v>26</v>
      </c>
      <c r="C80" s="2">
        <v>663</v>
      </c>
      <c r="D80" s="2">
        <v>221</v>
      </c>
      <c r="E80" s="2">
        <v>235</v>
      </c>
      <c r="F80" s="2">
        <v>24759.3</v>
      </c>
      <c r="G80" s="2">
        <v>708</v>
      </c>
      <c r="H80" s="2">
        <v>5918</v>
      </c>
      <c r="I80" s="2" t="s">
        <v>20</v>
      </c>
    </row>
    <row r="81" spans="1:9" ht="19" x14ac:dyDescent="0.2">
      <c r="A81" s="2">
        <v>80</v>
      </c>
      <c r="B81" s="2" t="s">
        <v>26</v>
      </c>
      <c r="C81" s="2">
        <v>663</v>
      </c>
      <c r="D81" s="2">
        <v>221</v>
      </c>
      <c r="E81" s="2">
        <v>235</v>
      </c>
      <c r="F81" s="2">
        <v>25159.9</v>
      </c>
      <c r="G81" s="2">
        <v>708</v>
      </c>
      <c r="H81" s="2">
        <v>5918</v>
      </c>
      <c r="I81" s="2" t="s">
        <v>20</v>
      </c>
    </row>
    <row r="82" spans="1:9" ht="19" x14ac:dyDescent="0.2">
      <c r="A82" s="2">
        <v>81</v>
      </c>
      <c r="B82" s="2" t="s">
        <v>26</v>
      </c>
      <c r="C82" s="2">
        <v>663</v>
      </c>
      <c r="D82" s="2">
        <v>221</v>
      </c>
      <c r="E82" s="2">
        <v>235</v>
      </c>
      <c r="F82" s="2">
        <v>25030.400000000001</v>
      </c>
      <c r="G82" s="2">
        <v>708</v>
      </c>
      <c r="H82" s="2">
        <v>5918</v>
      </c>
      <c r="I82" s="2" t="s">
        <v>20</v>
      </c>
    </row>
    <row r="83" spans="1:9" ht="19" x14ac:dyDescent="0.2">
      <c r="A83" s="2">
        <v>82</v>
      </c>
      <c r="B83" s="2" t="s">
        <v>26</v>
      </c>
      <c r="C83" s="2">
        <v>663</v>
      </c>
      <c r="D83" s="2">
        <v>221</v>
      </c>
      <c r="E83" s="2">
        <v>235</v>
      </c>
      <c r="F83" s="2">
        <v>25480.9</v>
      </c>
      <c r="G83" s="2">
        <v>708</v>
      </c>
      <c r="H83" s="2">
        <v>5918</v>
      </c>
      <c r="I83" s="2" t="s">
        <v>20</v>
      </c>
    </row>
    <row r="84" spans="1:9" ht="19" x14ac:dyDescent="0.2">
      <c r="A84" s="2">
        <v>83</v>
      </c>
      <c r="B84" s="2" t="s">
        <v>26</v>
      </c>
      <c r="C84" s="2">
        <v>663</v>
      </c>
      <c r="D84" s="2">
        <v>221</v>
      </c>
      <c r="E84" s="2">
        <v>235</v>
      </c>
      <c r="F84" s="2">
        <v>25439.1</v>
      </c>
      <c r="G84" s="2">
        <v>708</v>
      </c>
      <c r="H84" s="2">
        <v>5918</v>
      </c>
      <c r="I84" s="2" t="s">
        <v>20</v>
      </c>
    </row>
    <row r="85" spans="1:9" ht="19" x14ac:dyDescent="0.2">
      <c r="A85" s="2">
        <v>84</v>
      </c>
      <c r="B85" s="2" t="s">
        <v>27</v>
      </c>
      <c r="C85" s="2">
        <v>612</v>
      </c>
      <c r="D85" s="2">
        <v>204</v>
      </c>
      <c r="E85" s="2">
        <v>218</v>
      </c>
      <c r="F85" s="2">
        <v>23475.599999999999</v>
      </c>
      <c r="G85" s="2">
        <v>657</v>
      </c>
      <c r="H85" s="2">
        <v>5867</v>
      </c>
      <c r="I85" s="2" t="s">
        <v>20</v>
      </c>
    </row>
    <row r="86" spans="1:9" ht="19" x14ac:dyDescent="0.2">
      <c r="A86" s="2">
        <v>85</v>
      </c>
      <c r="B86" s="2" t="s">
        <v>27</v>
      </c>
      <c r="C86" s="2">
        <v>612</v>
      </c>
      <c r="D86" s="2">
        <v>204</v>
      </c>
      <c r="E86" s="2">
        <v>218</v>
      </c>
      <c r="F86" s="2">
        <v>23328.400000000001</v>
      </c>
      <c r="G86" s="2">
        <v>657</v>
      </c>
      <c r="H86" s="2">
        <v>5867</v>
      </c>
      <c r="I86" s="2" t="s">
        <v>20</v>
      </c>
    </row>
    <row r="87" spans="1:9" ht="19" x14ac:dyDescent="0.2">
      <c r="A87" s="2">
        <v>86</v>
      </c>
      <c r="B87" s="2" t="s">
        <v>27</v>
      </c>
      <c r="C87" s="2">
        <v>612</v>
      </c>
      <c r="D87" s="2">
        <v>204</v>
      </c>
      <c r="E87" s="2">
        <v>218</v>
      </c>
      <c r="F87" s="2">
        <v>23368.5</v>
      </c>
      <c r="G87" s="2">
        <v>657</v>
      </c>
      <c r="H87" s="2">
        <v>5867</v>
      </c>
      <c r="I87" s="2" t="s">
        <v>20</v>
      </c>
    </row>
    <row r="88" spans="1:9" ht="19" x14ac:dyDescent="0.2">
      <c r="A88" s="2">
        <v>87</v>
      </c>
      <c r="B88" s="2" t="s">
        <v>27</v>
      </c>
      <c r="C88" s="2">
        <v>612</v>
      </c>
      <c r="D88" s="2">
        <v>204</v>
      </c>
      <c r="E88" s="2">
        <v>218</v>
      </c>
      <c r="F88" s="2">
        <v>23344.3</v>
      </c>
      <c r="G88" s="2">
        <v>657</v>
      </c>
      <c r="H88" s="2">
        <v>5867</v>
      </c>
      <c r="I88" s="2" t="s">
        <v>20</v>
      </c>
    </row>
    <row r="89" spans="1:9" ht="19" x14ac:dyDescent="0.2">
      <c r="A89" s="2">
        <v>88</v>
      </c>
      <c r="B89" s="2" t="s">
        <v>27</v>
      </c>
      <c r="C89" s="2">
        <v>612</v>
      </c>
      <c r="D89" s="2">
        <v>204</v>
      </c>
      <c r="E89" s="2">
        <v>218</v>
      </c>
      <c r="F89" s="2">
        <v>23269.3</v>
      </c>
      <c r="G89" s="2">
        <v>657</v>
      </c>
      <c r="H89" s="2">
        <v>5867</v>
      </c>
      <c r="I89" s="2" t="s">
        <v>20</v>
      </c>
    </row>
    <row r="90" spans="1:9" ht="19" x14ac:dyDescent="0.2">
      <c r="A90" s="2">
        <v>89</v>
      </c>
      <c r="B90" s="2" t="s">
        <v>27</v>
      </c>
      <c r="C90" s="2">
        <v>612</v>
      </c>
      <c r="D90" s="2">
        <v>204</v>
      </c>
      <c r="E90" s="2">
        <v>218</v>
      </c>
      <c r="F90" s="2">
        <v>23327.4</v>
      </c>
      <c r="G90" s="2">
        <v>657</v>
      </c>
      <c r="H90" s="2">
        <v>5867</v>
      </c>
      <c r="I90" s="2" t="s">
        <v>20</v>
      </c>
    </row>
    <row r="91" spans="1:9" ht="19" x14ac:dyDescent="0.2">
      <c r="A91" s="2">
        <v>90</v>
      </c>
      <c r="B91" s="2" t="s">
        <v>27</v>
      </c>
      <c r="C91" s="2">
        <v>612</v>
      </c>
      <c r="D91" s="2">
        <v>204</v>
      </c>
      <c r="E91" s="2">
        <v>218</v>
      </c>
      <c r="F91" s="2">
        <v>23327.3</v>
      </c>
      <c r="G91" s="2">
        <v>657</v>
      </c>
      <c r="H91" s="2">
        <v>5867</v>
      </c>
      <c r="I91" s="2" t="s">
        <v>20</v>
      </c>
    </row>
    <row r="92" spans="1:9" ht="19" x14ac:dyDescent="0.2">
      <c r="A92" s="2">
        <v>91</v>
      </c>
      <c r="B92" s="2" t="s">
        <v>27</v>
      </c>
      <c r="C92" s="2">
        <v>612</v>
      </c>
      <c r="D92" s="2">
        <v>204</v>
      </c>
      <c r="E92" s="2">
        <v>218</v>
      </c>
      <c r="F92" s="2">
        <v>23482.400000000001</v>
      </c>
      <c r="G92" s="2">
        <v>657</v>
      </c>
      <c r="H92" s="2">
        <v>5867</v>
      </c>
      <c r="I92" s="2" t="s">
        <v>20</v>
      </c>
    </row>
    <row r="93" spans="1:9" ht="19" x14ac:dyDescent="0.2">
      <c r="A93" s="2">
        <v>92</v>
      </c>
      <c r="B93" s="2" t="s">
        <v>27</v>
      </c>
      <c r="C93" s="2">
        <v>612</v>
      </c>
      <c r="D93" s="2">
        <v>204</v>
      </c>
      <c r="E93" s="2">
        <v>218</v>
      </c>
      <c r="F93" s="2">
        <v>23818.1</v>
      </c>
      <c r="G93" s="2">
        <v>657</v>
      </c>
      <c r="H93" s="2">
        <v>5867</v>
      </c>
      <c r="I93" s="2" t="s">
        <v>20</v>
      </c>
    </row>
    <row r="94" spans="1:9" ht="19" x14ac:dyDescent="0.2">
      <c r="A94" s="2">
        <v>93</v>
      </c>
      <c r="B94" s="2" t="s">
        <v>27</v>
      </c>
      <c r="C94" s="2">
        <v>612</v>
      </c>
      <c r="D94" s="2">
        <v>204</v>
      </c>
      <c r="E94" s="2">
        <v>218</v>
      </c>
      <c r="F94" s="2">
        <v>23602.9</v>
      </c>
      <c r="G94" s="2">
        <v>657</v>
      </c>
      <c r="H94" s="2">
        <v>5867</v>
      </c>
      <c r="I94" s="2" t="s">
        <v>20</v>
      </c>
    </row>
    <row r="95" spans="1:9" ht="19" x14ac:dyDescent="0.2">
      <c r="A95" s="2">
        <v>94</v>
      </c>
      <c r="B95" s="2" t="s">
        <v>28</v>
      </c>
      <c r="C95" s="2">
        <v>687</v>
      </c>
      <c r="D95" s="2">
        <v>229</v>
      </c>
      <c r="E95" s="2">
        <v>243</v>
      </c>
      <c r="F95" s="2">
        <v>26286.2</v>
      </c>
      <c r="G95" s="2">
        <v>732</v>
      </c>
      <c r="H95" s="2">
        <v>5942</v>
      </c>
      <c r="I95" s="2" t="s">
        <v>20</v>
      </c>
    </row>
    <row r="96" spans="1:9" ht="19" x14ac:dyDescent="0.2">
      <c r="A96" s="2">
        <v>95</v>
      </c>
      <c r="B96" s="2" t="s">
        <v>29</v>
      </c>
      <c r="C96" s="2">
        <v>687</v>
      </c>
      <c r="D96" s="2">
        <v>229</v>
      </c>
      <c r="E96" s="2">
        <v>243</v>
      </c>
      <c r="F96" s="2">
        <v>26555.200000000001</v>
      </c>
      <c r="G96" s="2">
        <v>732</v>
      </c>
      <c r="H96" s="2">
        <v>5942</v>
      </c>
      <c r="I96" s="2" t="s">
        <v>20</v>
      </c>
    </row>
    <row r="97" spans="1:9" ht="19" x14ac:dyDescent="0.2">
      <c r="A97" s="2">
        <v>96</v>
      </c>
      <c r="B97" s="2" t="s">
        <v>29</v>
      </c>
      <c r="C97" s="2">
        <v>687</v>
      </c>
      <c r="D97" s="2">
        <v>229</v>
      </c>
      <c r="E97" s="2">
        <v>243</v>
      </c>
      <c r="F97" s="2">
        <v>26396.1</v>
      </c>
      <c r="G97" s="2">
        <v>732</v>
      </c>
      <c r="H97" s="2">
        <v>5942</v>
      </c>
      <c r="I97" s="2" t="s">
        <v>20</v>
      </c>
    </row>
    <row r="98" spans="1:9" ht="19" x14ac:dyDescent="0.2">
      <c r="A98" s="2">
        <v>97</v>
      </c>
      <c r="B98" s="2" t="s">
        <v>30</v>
      </c>
      <c r="C98" s="2">
        <v>684</v>
      </c>
      <c r="D98" s="2">
        <v>228</v>
      </c>
      <c r="E98" s="2">
        <v>242</v>
      </c>
      <c r="F98" s="2">
        <v>26078.3</v>
      </c>
      <c r="G98" s="2">
        <v>729</v>
      </c>
      <c r="H98" s="2">
        <v>5939</v>
      </c>
      <c r="I98" s="2" t="s">
        <v>20</v>
      </c>
    </row>
    <row r="99" spans="1:9" ht="19" x14ac:dyDescent="0.2">
      <c r="A99" s="2">
        <v>98</v>
      </c>
      <c r="B99" s="2" t="s">
        <v>30</v>
      </c>
      <c r="C99" s="2">
        <v>684</v>
      </c>
      <c r="D99" s="2">
        <v>228</v>
      </c>
      <c r="E99" s="2">
        <v>242</v>
      </c>
      <c r="F99" s="2">
        <v>26338.2</v>
      </c>
      <c r="G99" s="2">
        <v>729</v>
      </c>
      <c r="H99" s="2">
        <v>5939</v>
      </c>
      <c r="I99" s="2" t="s">
        <v>20</v>
      </c>
    </row>
    <row r="100" spans="1:9" ht="19" x14ac:dyDescent="0.2">
      <c r="A100" s="2">
        <v>99</v>
      </c>
      <c r="B100" s="2" t="s">
        <v>30</v>
      </c>
      <c r="C100" s="2">
        <v>684</v>
      </c>
      <c r="D100" s="2">
        <v>228</v>
      </c>
      <c r="E100" s="2">
        <v>242</v>
      </c>
      <c r="F100" s="2">
        <v>26132.1</v>
      </c>
      <c r="G100" s="2">
        <v>729</v>
      </c>
      <c r="H100" s="2">
        <v>5939</v>
      </c>
      <c r="I100" s="2" t="s">
        <v>20</v>
      </c>
    </row>
    <row r="101" spans="1:9" ht="19" x14ac:dyDescent="0.2">
      <c r="A101" s="2">
        <v>100</v>
      </c>
      <c r="B101" s="2" t="s">
        <v>30</v>
      </c>
      <c r="C101" s="2">
        <v>684</v>
      </c>
      <c r="D101" s="2">
        <v>228</v>
      </c>
      <c r="E101" s="2">
        <v>242</v>
      </c>
      <c r="F101" s="2">
        <v>26275.3</v>
      </c>
      <c r="G101" s="2">
        <v>729</v>
      </c>
      <c r="H101" s="2">
        <v>5939</v>
      </c>
      <c r="I101" s="2" t="s">
        <v>20</v>
      </c>
    </row>
    <row r="102" spans="1:9" ht="19" x14ac:dyDescent="0.2">
      <c r="A102" s="2">
        <v>101</v>
      </c>
      <c r="B102" s="2" t="s">
        <v>30</v>
      </c>
      <c r="C102" s="2">
        <v>684</v>
      </c>
      <c r="D102" s="2">
        <v>228</v>
      </c>
      <c r="E102" s="2">
        <v>242</v>
      </c>
      <c r="F102" s="2">
        <v>26125.1</v>
      </c>
      <c r="G102" s="2">
        <v>729</v>
      </c>
      <c r="H102" s="2">
        <v>5939</v>
      </c>
      <c r="I102" s="2" t="s">
        <v>20</v>
      </c>
    </row>
    <row r="103" spans="1:9" ht="19" x14ac:dyDescent="0.2">
      <c r="A103" s="2">
        <v>102</v>
      </c>
      <c r="B103" s="2" t="s">
        <v>30</v>
      </c>
      <c r="C103" s="2">
        <v>684</v>
      </c>
      <c r="D103" s="2">
        <v>228</v>
      </c>
      <c r="E103" s="2">
        <v>242</v>
      </c>
      <c r="F103" s="2">
        <v>26304.2</v>
      </c>
      <c r="G103" s="2">
        <v>729</v>
      </c>
      <c r="H103" s="2">
        <v>5939</v>
      </c>
      <c r="I103" s="2" t="s">
        <v>20</v>
      </c>
    </row>
    <row r="104" spans="1:9" ht="19" x14ac:dyDescent="0.2">
      <c r="A104" s="2">
        <v>103</v>
      </c>
      <c r="B104" s="2" t="s">
        <v>30</v>
      </c>
      <c r="C104" s="2">
        <v>684</v>
      </c>
      <c r="D104" s="2">
        <v>228</v>
      </c>
      <c r="E104" s="2">
        <v>242</v>
      </c>
      <c r="F104" s="2">
        <v>26002.9</v>
      </c>
      <c r="G104" s="2">
        <v>729</v>
      </c>
      <c r="H104" s="2">
        <v>5939</v>
      </c>
      <c r="I104" s="2" t="s">
        <v>20</v>
      </c>
    </row>
    <row r="105" spans="1:9" ht="19" x14ac:dyDescent="0.2">
      <c r="A105" s="2">
        <v>104</v>
      </c>
      <c r="B105" s="2" t="s">
        <v>30</v>
      </c>
      <c r="C105" s="2">
        <v>684</v>
      </c>
      <c r="D105" s="2">
        <v>228</v>
      </c>
      <c r="E105" s="2">
        <v>242</v>
      </c>
      <c r="F105" s="2">
        <v>25888.7</v>
      </c>
      <c r="G105" s="2">
        <v>729</v>
      </c>
      <c r="H105" s="2">
        <v>5939</v>
      </c>
      <c r="I105" s="2" t="s">
        <v>20</v>
      </c>
    </row>
    <row r="106" spans="1:9" ht="19" x14ac:dyDescent="0.2">
      <c r="A106" s="2">
        <v>105</v>
      </c>
      <c r="B106" s="2" t="s">
        <v>31</v>
      </c>
      <c r="C106" s="2">
        <v>663</v>
      </c>
      <c r="D106" s="2">
        <v>221</v>
      </c>
      <c r="E106" s="2">
        <v>235</v>
      </c>
      <c r="F106" s="2">
        <v>24147.3</v>
      </c>
      <c r="G106" s="2">
        <v>708</v>
      </c>
      <c r="H106" s="2">
        <v>5918</v>
      </c>
      <c r="I106" s="2" t="s">
        <v>20</v>
      </c>
    </row>
    <row r="107" spans="1:9" ht="19" x14ac:dyDescent="0.2">
      <c r="A107" s="2">
        <v>106</v>
      </c>
      <c r="B107" s="2" t="s">
        <v>31</v>
      </c>
      <c r="C107" s="2">
        <v>663</v>
      </c>
      <c r="D107" s="2">
        <v>221</v>
      </c>
      <c r="E107" s="2">
        <v>235</v>
      </c>
      <c r="F107" s="2">
        <v>24160.5</v>
      </c>
      <c r="G107" s="2">
        <v>708</v>
      </c>
      <c r="H107" s="2">
        <v>5918</v>
      </c>
      <c r="I107" s="2" t="s">
        <v>20</v>
      </c>
    </row>
    <row r="108" spans="1:9" ht="19" x14ac:dyDescent="0.2">
      <c r="A108" s="2">
        <v>107</v>
      </c>
      <c r="B108" s="2" t="s">
        <v>31</v>
      </c>
      <c r="C108" s="2">
        <v>663</v>
      </c>
      <c r="D108" s="2">
        <v>221</v>
      </c>
      <c r="E108" s="2">
        <v>235</v>
      </c>
      <c r="F108" s="2">
        <v>24133.5</v>
      </c>
      <c r="G108" s="2">
        <v>708</v>
      </c>
      <c r="H108" s="2">
        <v>5918</v>
      </c>
      <c r="I108" s="2" t="s">
        <v>20</v>
      </c>
    </row>
    <row r="109" spans="1:9" ht="19" x14ac:dyDescent="0.2">
      <c r="A109" s="2">
        <v>108</v>
      </c>
      <c r="B109" s="2" t="s">
        <v>31</v>
      </c>
      <c r="C109" s="2">
        <v>663</v>
      </c>
      <c r="D109" s="2">
        <v>221</v>
      </c>
      <c r="E109" s="2">
        <v>235</v>
      </c>
      <c r="F109" s="2">
        <v>24160.400000000001</v>
      </c>
      <c r="G109" s="2">
        <v>708</v>
      </c>
      <c r="H109" s="2">
        <v>5918</v>
      </c>
      <c r="I109" s="2" t="s">
        <v>20</v>
      </c>
    </row>
    <row r="110" spans="1:9" ht="19" x14ac:dyDescent="0.2">
      <c r="A110" s="2">
        <v>109</v>
      </c>
      <c r="B110" s="2" t="s">
        <v>31</v>
      </c>
      <c r="C110" s="2">
        <v>663</v>
      </c>
      <c r="D110" s="2">
        <v>221</v>
      </c>
      <c r="E110" s="2">
        <v>235</v>
      </c>
      <c r="F110" s="2">
        <v>24032.2</v>
      </c>
      <c r="G110" s="2">
        <v>708</v>
      </c>
      <c r="H110" s="2">
        <v>5918</v>
      </c>
      <c r="I110" s="2" t="s">
        <v>20</v>
      </c>
    </row>
    <row r="111" spans="1:9" ht="19" x14ac:dyDescent="0.2">
      <c r="A111" s="2">
        <v>110</v>
      </c>
      <c r="B111" s="2" t="s">
        <v>31</v>
      </c>
      <c r="C111" s="2">
        <v>663</v>
      </c>
      <c r="D111" s="2">
        <v>221</v>
      </c>
      <c r="E111" s="2">
        <v>235</v>
      </c>
      <c r="F111" s="2">
        <v>23992.400000000001</v>
      </c>
      <c r="G111" s="2">
        <v>708</v>
      </c>
      <c r="H111" s="2">
        <v>5918</v>
      </c>
      <c r="I111" s="2" t="s">
        <v>20</v>
      </c>
    </row>
    <row r="112" spans="1:9" ht="19" x14ac:dyDescent="0.2">
      <c r="A112" s="2">
        <v>111</v>
      </c>
      <c r="B112" s="2" t="s">
        <v>31</v>
      </c>
      <c r="C112" s="2">
        <v>663</v>
      </c>
      <c r="D112" s="2">
        <v>221</v>
      </c>
      <c r="E112" s="2">
        <v>235</v>
      </c>
      <c r="F112" s="2">
        <v>24026.3</v>
      </c>
      <c r="G112" s="2">
        <v>708</v>
      </c>
      <c r="H112" s="2">
        <v>5918</v>
      </c>
      <c r="I112" s="2" t="s">
        <v>20</v>
      </c>
    </row>
    <row r="113" spans="1:9" ht="19" x14ac:dyDescent="0.2">
      <c r="A113" s="2">
        <v>112</v>
      </c>
      <c r="B113" s="2" t="s">
        <v>31</v>
      </c>
      <c r="C113" s="2">
        <v>663</v>
      </c>
      <c r="D113" s="2">
        <v>221</v>
      </c>
      <c r="E113" s="2">
        <v>235</v>
      </c>
      <c r="F113" s="2">
        <v>24004.2</v>
      </c>
      <c r="G113" s="2">
        <v>708</v>
      </c>
      <c r="H113" s="2">
        <v>5918</v>
      </c>
      <c r="I113" s="2" t="s">
        <v>20</v>
      </c>
    </row>
    <row r="114" spans="1:9" ht="19" x14ac:dyDescent="0.2">
      <c r="A114" s="2">
        <v>113</v>
      </c>
      <c r="B114" s="2" t="s">
        <v>31</v>
      </c>
      <c r="C114" s="2">
        <v>663</v>
      </c>
      <c r="D114" s="2">
        <v>221</v>
      </c>
      <c r="E114" s="2">
        <v>235</v>
      </c>
      <c r="F114" s="2">
        <v>23941.200000000001</v>
      </c>
      <c r="G114" s="2">
        <v>708</v>
      </c>
      <c r="H114" s="2">
        <v>5918</v>
      </c>
      <c r="I114" s="2" t="s">
        <v>20</v>
      </c>
    </row>
    <row r="115" spans="1:9" ht="19" x14ac:dyDescent="0.2">
      <c r="A115" s="2">
        <v>114</v>
      </c>
      <c r="B115" s="2" t="s">
        <v>31</v>
      </c>
      <c r="C115" s="2">
        <v>663</v>
      </c>
      <c r="D115" s="2">
        <v>221</v>
      </c>
      <c r="E115" s="2">
        <v>235</v>
      </c>
      <c r="F115" s="2">
        <v>23984.400000000001</v>
      </c>
      <c r="G115" s="2">
        <v>708</v>
      </c>
      <c r="H115" s="2">
        <v>5918</v>
      </c>
      <c r="I115" s="2" t="s">
        <v>20</v>
      </c>
    </row>
    <row r="116" spans="1:9" ht="19" x14ac:dyDescent="0.2">
      <c r="A116" s="2">
        <v>115</v>
      </c>
      <c r="B116" s="2" t="s">
        <v>31</v>
      </c>
      <c r="C116" s="2">
        <v>663</v>
      </c>
      <c r="D116" s="2">
        <v>221</v>
      </c>
      <c r="E116" s="2">
        <v>235</v>
      </c>
      <c r="F116" s="2">
        <v>24146.3</v>
      </c>
      <c r="G116" s="2">
        <v>708</v>
      </c>
      <c r="H116" s="2">
        <v>5918</v>
      </c>
      <c r="I116" s="2" t="s">
        <v>20</v>
      </c>
    </row>
    <row r="117" spans="1:9" ht="19" x14ac:dyDescent="0.2">
      <c r="A117" s="2">
        <v>116</v>
      </c>
      <c r="B117" s="2" t="s">
        <v>31</v>
      </c>
      <c r="C117" s="2">
        <v>663</v>
      </c>
      <c r="D117" s="2">
        <v>221</v>
      </c>
      <c r="E117" s="2">
        <v>235</v>
      </c>
      <c r="F117" s="2">
        <v>24041.200000000001</v>
      </c>
      <c r="G117" s="2">
        <v>708</v>
      </c>
      <c r="H117" s="2">
        <v>5918</v>
      </c>
      <c r="I117" s="2" t="s">
        <v>20</v>
      </c>
    </row>
    <row r="118" spans="1:9" ht="19" x14ac:dyDescent="0.2">
      <c r="A118" s="2">
        <v>117</v>
      </c>
      <c r="B118" s="2" t="s">
        <v>31</v>
      </c>
      <c r="C118" s="2">
        <v>663</v>
      </c>
      <c r="D118" s="2">
        <v>221</v>
      </c>
      <c r="E118" s="2">
        <v>235</v>
      </c>
      <c r="F118" s="2">
        <v>24205.599999999999</v>
      </c>
      <c r="G118" s="2">
        <v>708</v>
      </c>
      <c r="H118" s="2">
        <v>5918</v>
      </c>
      <c r="I118" s="2" t="s">
        <v>20</v>
      </c>
    </row>
    <row r="119" spans="1:9" ht="19" x14ac:dyDescent="0.2">
      <c r="A119" s="2">
        <v>118</v>
      </c>
      <c r="B119" s="2" t="s">
        <v>31</v>
      </c>
      <c r="C119" s="2">
        <v>663</v>
      </c>
      <c r="D119" s="2">
        <v>221</v>
      </c>
      <c r="E119" s="2">
        <v>235</v>
      </c>
      <c r="F119" s="2">
        <v>24049.4</v>
      </c>
      <c r="G119" s="2">
        <v>708</v>
      </c>
      <c r="H119" s="2">
        <v>5918</v>
      </c>
      <c r="I119" s="2" t="s">
        <v>20</v>
      </c>
    </row>
    <row r="120" spans="1:9" ht="19" x14ac:dyDescent="0.2">
      <c r="A120" s="2">
        <v>119</v>
      </c>
      <c r="B120" s="2" t="s">
        <v>31</v>
      </c>
      <c r="C120" s="2">
        <v>663</v>
      </c>
      <c r="D120" s="2">
        <v>221</v>
      </c>
      <c r="E120" s="2">
        <v>235</v>
      </c>
      <c r="F120" s="2">
        <v>24089.200000000001</v>
      </c>
      <c r="G120" s="2">
        <v>708</v>
      </c>
      <c r="H120" s="2">
        <v>5918</v>
      </c>
      <c r="I120" s="2" t="s">
        <v>20</v>
      </c>
    </row>
    <row r="121" spans="1:9" ht="19" x14ac:dyDescent="0.2">
      <c r="A121" s="2">
        <v>120</v>
      </c>
      <c r="B121" s="2" t="s">
        <v>31</v>
      </c>
      <c r="C121" s="2">
        <v>663</v>
      </c>
      <c r="D121" s="2">
        <v>221</v>
      </c>
      <c r="E121" s="2">
        <v>235</v>
      </c>
      <c r="F121" s="2">
        <v>24124.5</v>
      </c>
      <c r="G121" s="2">
        <v>708</v>
      </c>
      <c r="H121" s="2">
        <v>5918</v>
      </c>
      <c r="I121" s="2" t="s">
        <v>20</v>
      </c>
    </row>
    <row r="122" spans="1:9" ht="19" x14ac:dyDescent="0.2">
      <c r="A122" s="2">
        <v>121</v>
      </c>
      <c r="B122" s="2" t="s">
        <v>31</v>
      </c>
      <c r="C122" s="2">
        <v>663</v>
      </c>
      <c r="D122" s="2">
        <v>221</v>
      </c>
      <c r="E122" s="2">
        <v>235</v>
      </c>
      <c r="F122" s="2">
        <v>23839.1</v>
      </c>
      <c r="G122" s="2">
        <v>708</v>
      </c>
      <c r="H122" s="2">
        <v>5918</v>
      </c>
      <c r="I122" s="2" t="s">
        <v>20</v>
      </c>
    </row>
    <row r="123" spans="1:9" ht="19" x14ac:dyDescent="0.2">
      <c r="A123" s="2">
        <v>122</v>
      </c>
      <c r="B123" s="2" t="s">
        <v>31</v>
      </c>
      <c r="C123" s="2">
        <v>663</v>
      </c>
      <c r="D123" s="2">
        <v>221</v>
      </c>
      <c r="E123" s="2">
        <v>235</v>
      </c>
      <c r="F123" s="2">
        <v>23807</v>
      </c>
      <c r="G123" s="2">
        <v>708</v>
      </c>
      <c r="H123" s="2">
        <v>5918</v>
      </c>
      <c r="I123" s="2" t="s">
        <v>20</v>
      </c>
    </row>
    <row r="124" spans="1:9" ht="19" x14ac:dyDescent="0.2">
      <c r="A124" s="2">
        <v>123</v>
      </c>
      <c r="B124" s="2" t="s">
        <v>31</v>
      </c>
      <c r="C124" s="2">
        <v>663</v>
      </c>
      <c r="D124" s="2">
        <v>221</v>
      </c>
      <c r="E124" s="2">
        <v>235</v>
      </c>
      <c r="F124" s="2">
        <v>24051.3</v>
      </c>
      <c r="G124" s="2">
        <v>708</v>
      </c>
      <c r="H124" s="2">
        <v>5918</v>
      </c>
      <c r="I124" s="2" t="s">
        <v>20</v>
      </c>
    </row>
    <row r="125" spans="1:9" ht="19" x14ac:dyDescent="0.2">
      <c r="A125" s="2">
        <v>124</v>
      </c>
      <c r="B125" s="2" t="s">
        <v>31</v>
      </c>
      <c r="C125" s="2">
        <v>663</v>
      </c>
      <c r="D125" s="2">
        <v>221</v>
      </c>
      <c r="E125" s="2">
        <v>235</v>
      </c>
      <c r="F125" s="2">
        <v>24487.8</v>
      </c>
      <c r="G125" s="2">
        <v>708</v>
      </c>
      <c r="H125" s="2">
        <v>5918</v>
      </c>
      <c r="I125" s="2" t="s">
        <v>20</v>
      </c>
    </row>
    <row r="126" spans="1:9" ht="19" x14ac:dyDescent="0.2">
      <c r="A126" s="2">
        <v>125</v>
      </c>
      <c r="B126" s="2" t="s">
        <v>31</v>
      </c>
      <c r="C126" s="2">
        <v>663</v>
      </c>
      <c r="D126" s="2">
        <v>221</v>
      </c>
      <c r="E126" s="2">
        <v>235</v>
      </c>
      <c r="F126" s="2">
        <v>23879.1</v>
      </c>
      <c r="G126" s="2">
        <v>708</v>
      </c>
      <c r="H126" s="2">
        <v>5918</v>
      </c>
      <c r="I126" s="2" t="s">
        <v>20</v>
      </c>
    </row>
    <row r="127" spans="1:9" ht="19" x14ac:dyDescent="0.2">
      <c r="A127" s="2">
        <v>126</v>
      </c>
      <c r="B127" s="2" t="s">
        <v>31</v>
      </c>
      <c r="C127" s="2">
        <v>663</v>
      </c>
      <c r="D127" s="2">
        <v>221</v>
      </c>
      <c r="E127" s="2">
        <v>235</v>
      </c>
      <c r="F127" s="2">
        <v>23801.1</v>
      </c>
      <c r="G127" s="2">
        <v>708</v>
      </c>
      <c r="H127" s="2">
        <v>5918</v>
      </c>
      <c r="I127" s="2" t="s">
        <v>20</v>
      </c>
    </row>
    <row r="128" spans="1:9" ht="19" x14ac:dyDescent="0.2">
      <c r="A128" s="2">
        <v>127</v>
      </c>
      <c r="B128" s="2" t="s">
        <v>31</v>
      </c>
      <c r="C128" s="2">
        <v>663</v>
      </c>
      <c r="D128" s="2">
        <v>221</v>
      </c>
      <c r="E128" s="2">
        <v>235</v>
      </c>
      <c r="F128" s="2">
        <v>24143.5</v>
      </c>
      <c r="G128" s="2">
        <v>708</v>
      </c>
      <c r="H128" s="2">
        <v>5918</v>
      </c>
      <c r="I128" s="2" t="s">
        <v>20</v>
      </c>
    </row>
    <row r="129" spans="1:9" ht="19" x14ac:dyDescent="0.2">
      <c r="A129" s="2">
        <v>128</v>
      </c>
      <c r="B129" s="2" t="s">
        <v>31</v>
      </c>
      <c r="C129" s="2">
        <v>663</v>
      </c>
      <c r="D129" s="2">
        <v>221</v>
      </c>
      <c r="E129" s="2">
        <v>235</v>
      </c>
      <c r="F129" s="2">
        <v>24019.3</v>
      </c>
      <c r="G129" s="2">
        <v>708</v>
      </c>
      <c r="H129" s="2">
        <v>5918</v>
      </c>
      <c r="I129" s="2" t="s">
        <v>20</v>
      </c>
    </row>
    <row r="130" spans="1:9" ht="19" x14ac:dyDescent="0.2">
      <c r="A130" s="2">
        <v>129</v>
      </c>
      <c r="B130" s="2" t="s">
        <v>31</v>
      </c>
      <c r="C130" s="2">
        <v>663</v>
      </c>
      <c r="D130" s="2">
        <v>221</v>
      </c>
      <c r="E130" s="2">
        <v>235</v>
      </c>
      <c r="F130" s="2">
        <v>24258.6</v>
      </c>
      <c r="G130" s="2">
        <v>708</v>
      </c>
      <c r="H130" s="2">
        <v>5918</v>
      </c>
      <c r="I130" s="2" t="s">
        <v>20</v>
      </c>
    </row>
    <row r="131" spans="1:9" ht="19" x14ac:dyDescent="0.2">
      <c r="A131" s="2">
        <v>130</v>
      </c>
      <c r="B131" s="2" t="s">
        <v>31</v>
      </c>
      <c r="C131" s="2">
        <v>663</v>
      </c>
      <c r="D131" s="2">
        <v>221</v>
      </c>
      <c r="E131" s="2">
        <v>235</v>
      </c>
      <c r="F131" s="2">
        <v>24358.7</v>
      </c>
      <c r="G131" s="2">
        <v>708</v>
      </c>
      <c r="H131" s="2">
        <v>5918</v>
      </c>
      <c r="I131" s="2" t="s">
        <v>20</v>
      </c>
    </row>
    <row r="132" spans="1:9" ht="19" x14ac:dyDescent="0.2">
      <c r="A132" s="2">
        <v>131</v>
      </c>
      <c r="B132" s="2" t="s">
        <v>31</v>
      </c>
      <c r="C132" s="2">
        <v>663</v>
      </c>
      <c r="D132" s="2">
        <v>221</v>
      </c>
      <c r="E132" s="2">
        <v>235</v>
      </c>
      <c r="F132" s="2">
        <v>24118.3</v>
      </c>
      <c r="G132" s="2">
        <v>708</v>
      </c>
      <c r="H132" s="2">
        <v>5918</v>
      </c>
      <c r="I132" s="2" t="s">
        <v>20</v>
      </c>
    </row>
    <row r="133" spans="1:9" ht="19" x14ac:dyDescent="0.2">
      <c r="A133" s="2">
        <v>132</v>
      </c>
      <c r="B133" s="2" t="s">
        <v>31</v>
      </c>
      <c r="C133" s="2">
        <v>663</v>
      </c>
      <c r="D133" s="2">
        <v>221</v>
      </c>
      <c r="E133" s="2">
        <v>235</v>
      </c>
      <c r="F133" s="2">
        <v>24315.5</v>
      </c>
      <c r="G133" s="2">
        <v>708</v>
      </c>
      <c r="H133" s="2">
        <v>5918</v>
      </c>
      <c r="I133" s="2" t="s">
        <v>20</v>
      </c>
    </row>
    <row r="134" spans="1:9" ht="19" x14ac:dyDescent="0.2">
      <c r="A134" s="2">
        <v>133</v>
      </c>
      <c r="B134" s="2" t="s">
        <v>31</v>
      </c>
      <c r="C134" s="2">
        <v>663</v>
      </c>
      <c r="D134" s="2">
        <v>221</v>
      </c>
      <c r="E134" s="2">
        <v>235</v>
      </c>
      <c r="F134" s="2">
        <v>23821.1</v>
      </c>
      <c r="G134" s="2">
        <v>708</v>
      </c>
      <c r="H134" s="2">
        <v>5918</v>
      </c>
      <c r="I134" s="2" t="s">
        <v>20</v>
      </c>
    </row>
    <row r="135" spans="1:9" ht="19" x14ac:dyDescent="0.2">
      <c r="A135" s="2">
        <v>134</v>
      </c>
      <c r="B135" s="2" t="s">
        <v>31</v>
      </c>
      <c r="C135" s="2">
        <v>663</v>
      </c>
      <c r="D135" s="2">
        <v>221</v>
      </c>
      <c r="E135" s="2">
        <v>235</v>
      </c>
      <c r="F135" s="2">
        <v>24100.400000000001</v>
      </c>
      <c r="G135" s="2">
        <v>708</v>
      </c>
      <c r="H135" s="2">
        <v>5918</v>
      </c>
      <c r="I135" s="2" t="s">
        <v>20</v>
      </c>
    </row>
    <row r="136" spans="1:9" ht="19" x14ac:dyDescent="0.2">
      <c r="A136" s="2">
        <v>135</v>
      </c>
      <c r="B136" s="2" t="s">
        <v>31</v>
      </c>
      <c r="C136" s="2">
        <v>663</v>
      </c>
      <c r="D136" s="2">
        <v>221</v>
      </c>
      <c r="E136" s="2">
        <v>235</v>
      </c>
      <c r="F136" s="2">
        <v>24125.5</v>
      </c>
      <c r="G136" s="2">
        <v>708</v>
      </c>
      <c r="H136" s="2">
        <v>5918</v>
      </c>
      <c r="I136" s="2" t="s">
        <v>20</v>
      </c>
    </row>
    <row r="137" spans="1:9" ht="19" x14ac:dyDescent="0.2">
      <c r="A137" s="2">
        <v>136</v>
      </c>
      <c r="B137" s="2" t="s">
        <v>31</v>
      </c>
      <c r="C137" s="2">
        <v>663</v>
      </c>
      <c r="D137" s="2">
        <v>221</v>
      </c>
      <c r="E137" s="2">
        <v>235</v>
      </c>
      <c r="F137" s="2">
        <v>24354.5</v>
      </c>
      <c r="G137" s="2">
        <v>708</v>
      </c>
      <c r="H137" s="2">
        <v>5918</v>
      </c>
      <c r="I137" s="2" t="s">
        <v>20</v>
      </c>
    </row>
    <row r="138" spans="1:9" ht="19" x14ac:dyDescent="0.2">
      <c r="A138" s="2">
        <v>137</v>
      </c>
      <c r="B138" s="2" t="s">
        <v>31</v>
      </c>
      <c r="C138" s="2">
        <v>663</v>
      </c>
      <c r="D138" s="2">
        <v>221</v>
      </c>
      <c r="E138" s="2">
        <v>235</v>
      </c>
      <c r="F138" s="2">
        <v>24160.400000000001</v>
      </c>
      <c r="G138" s="2">
        <v>708</v>
      </c>
      <c r="H138" s="2">
        <v>5918</v>
      </c>
      <c r="I138" s="2" t="s">
        <v>20</v>
      </c>
    </row>
    <row r="139" spans="1:9" ht="19" x14ac:dyDescent="0.2">
      <c r="A139" s="2">
        <v>138</v>
      </c>
      <c r="B139" s="2" t="s">
        <v>31</v>
      </c>
      <c r="C139" s="2">
        <v>663</v>
      </c>
      <c r="D139" s="2">
        <v>221</v>
      </c>
      <c r="E139" s="2">
        <v>235</v>
      </c>
      <c r="F139" s="2">
        <v>24043.3</v>
      </c>
      <c r="G139" s="2">
        <v>708</v>
      </c>
      <c r="H139" s="2">
        <v>5918</v>
      </c>
      <c r="I139" s="2" t="s">
        <v>20</v>
      </c>
    </row>
    <row r="140" spans="1:9" ht="19" x14ac:dyDescent="0.2">
      <c r="A140" s="2">
        <v>139</v>
      </c>
      <c r="B140" s="2" t="s">
        <v>31</v>
      </c>
      <c r="C140" s="2">
        <v>663</v>
      </c>
      <c r="D140" s="2">
        <v>221</v>
      </c>
      <c r="E140" s="2">
        <v>235</v>
      </c>
      <c r="F140" s="2">
        <v>24086.400000000001</v>
      </c>
      <c r="G140" s="2">
        <v>708</v>
      </c>
      <c r="H140" s="2">
        <v>5918</v>
      </c>
      <c r="I140" s="2" t="s">
        <v>20</v>
      </c>
    </row>
    <row r="141" spans="1:9" ht="19" x14ac:dyDescent="0.2">
      <c r="A141" s="2">
        <v>140</v>
      </c>
      <c r="B141" s="2" t="s">
        <v>31</v>
      </c>
      <c r="C141" s="2">
        <v>663</v>
      </c>
      <c r="D141" s="2">
        <v>221</v>
      </c>
      <c r="E141" s="2">
        <v>235</v>
      </c>
      <c r="F141" s="2">
        <v>24271.4</v>
      </c>
      <c r="G141" s="2">
        <v>708</v>
      </c>
      <c r="H141" s="2">
        <v>5918</v>
      </c>
      <c r="I141" s="2" t="s">
        <v>20</v>
      </c>
    </row>
    <row r="142" spans="1:9" ht="19" x14ac:dyDescent="0.2">
      <c r="A142" s="2">
        <v>141</v>
      </c>
      <c r="B142" s="2" t="s">
        <v>31</v>
      </c>
      <c r="C142" s="2">
        <v>663</v>
      </c>
      <c r="D142" s="2">
        <v>221</v>
      </c>
      <c r="E142" s="2">
        <v>235</v>
      </c>
      <c r="F142" s="2">
        <v>24070.400000000001</v>
      </c>
      <c r="G142" s="2">
        <v>708</v>
      </c>
      <c r="H142" s="2">
        <v>5918</v>
      </c>
      <c r="I142" s="2" t="s">
        <v>20</v>
      </c>
    </row>
    <row r="143" spans="1:9" ht="19" x14ac:dyDescent="0.2">
      <c r="A143" s="2">
        <v>142</v>
      </c>
      <c r="B143" s="2" t="s">
        <v>31</v>
      </c>
      <c r="C143" s="2">
        <v>663</v>
      </c>
      <c r="D143" s="2">
        <v>221</v>
      </c>
      <c r="E143" s="2">
        <v>235</v>
      </c>
      <c r="F143" s="2">
        <v>24211.4</v>
      </c>
      <c r="G143" s="2">
        <v>708</v>
      </c>
      <c r="H143" s="2">
        <v>5918</v>
      </c>
      <c r="I143" s="2" t="s">
        <v>20</v>
      </c>
    </row>
    <row r="144" spans="1:9" ht="19" x14ac:dyDescent="0.2">
      <c r="A144" s="2">
        <v>143</v>
      </c>
      <c r="B144" s="2" t="s">
        <v>31</v>
      </c>
      <c r="C144" s="2">
        <v>663</v>
      </c>
      <c r="D144" s="2">
        <v>221</v>
      </c>
      <c r="E144" s="2">
        <v>235</v>
      </c>
      <c r="F144" s="2">
        <v>24223.599999999999</v>
      </c>
      <c r="G144" s="2">
        <v>708</v>
      </c>
      <c r="H144" s="2">
        <v>5918</v>
      </c>
      <c r="I144" s="2" t="s">
        <v>20</v>
      </c>
    </row>
    <row r="145" spans="1:9" ht="19" x14ac:dyDescent="0.2">
      <c r="A145" s="2">
        <v>144</v>
      </c>
      <c r="B145" s="2" t="s">
        <v>31</v>
      </c>
      <c r="C145" s="2">
        <v>663</v>
      </c>
      <c r="D145" s="2">
        <v>221</v>
      </c>
      <c r="E145" s="2">
        <v>235</v>
      </c>
      <c r="F145" s="2">
        <v>24196.6</v>
      </c>
      <c r="G145" s="2">
        <v>708</v>
      </c>
      <c r="H145" s="2">
        <v>5918</v>
      </c>
      <c r="I145" s="2" t="s">
        <v>20</v>
      </c>
    </row>
    <row r="146" spans="1:9" ht="19" x14ac:dyDescent="0.2">
      <c r="A146" s="2">
        <v>145</v>
      </c>
      <c r="B146" s="2" t="s">
        <v>31</v>
      </c>
      <c r="C146" s="2">
        <v>663</v>
      </c>
      <c r="D146" s="2">
        <v>221</v>
      </c>
      <c r="E146" s="2">
        <v>235</v>
      </c>
      <c r="F146" s="2">
        <v>23936.1</v>
      </c>
      <c r="G146" s="2">
        <v>708</v>
      </c>
      <c r="H146" s="2">
        <v>5918</v>
      </c>
      <c r="I146" s="2" t="s">
        <v>20</v>
      </c>
    </row>
    <row r="147" spans="1:9" ht="19" x14ac:dyDescent="0.2">
      <c r="A147" s="2">
        <v>146</v>
      </c>
      <c r="B147" s="2" t="s">
        <v>31</v>
      </c>
      <c r="C147" s="2">
        <v>663</v>
      </c>
      <c r="D147" s="2">
        <v>221</v>
      </c>
      <c r="E147" s="2">
        <v>235</v>
      </c>
      <c r="F147" s="2">
        <v>24065.3</v>
      </c>
      <c r="G147" s="2">
        <v>708</v>
      </c>
      <c r="H147" s="2">
        <v>5918</v>
      </c>
      <c r="I147" s="2" t="s">
        <v>20</v>
      </c>
    </row>
    <row r="148" spans="1:9" ht="19" x14ac:dyDescent="0.2">
      <c r="A148" s="2">
        <v>147</v>
      </c>
      <c r="B148" s="2" t="s">
        <v>31</v>
      </c>
      <c r="C148" s="2">
        <v>663</v>
      </c>
      <c r="D148" s="2">
        <v>221</v>
      </c>
      <c r="E148" s="2">
        <v>235</v>
      </c>
      <c r="F148" s="2">
        <v>24156.3</v>
      </c>
      <c r="G148" s="2">
        <v>708</v>
      </c>
      <c r="H148" s="2">
        <v>5918</v>
      </c>
      <c r="I148" s="2" t="s">
        <v>20</v>
      </c>
    </row>
    <row r="149" spans="1:9" ht="19" x14ac:dyDescent="0.2">
      <c r="A149" s="2">
        <v>148</v>
      </c>
      <c r="B149" s="2" t="s">
        <v>31</v>
      </c>
      <c r="C149" s="2">
        <v>663</v>
      </c>
      <c r="D149" s="2">
        <v>221</v>
      </c>
      <c r="E149" s="2">
        <v>235</v>
      </c>
      <c r="F149" s="2">
        <v>24177.3</v>
      </c>
      <c r="G149" s="2">
        <v>708</v>
      </c>
      <c r="H149" s="2">
        <v>5918</v>
      </c>
      <c r="I149" s="2" t="s">
        <v>20</v>
      </c>
    </row>
    <row r="150" spans="1:9" ht="19" x14ac:dyDescent="0.2">
      <c r="A150" s="2">
        <v>149</v>
      </c>
      <c r="B150" s="2" t="s">
        <v>31</v>
      </c>
      <c r="C150" s="2">
        <v>663</v>
      </c>
      <c r="D150" s="2">
        <v>221</v>
      </c>
      <c r="E150" s="2">
        <v>235</v>
      </c>
      <c r="F150" s="2">
        <v>24090.400000000001</v>
      </c>
      <c r="G150" s="2">
        <v>708</v>
      </c>
      <c r="H150" s="2">
        <v>5918</v>
      </c>
      <c r="I150" s="2" t="s">
        <v>20</v>
      </c>
    </row>
    <row r="151" spans="1:9" ht="19" x14ac:dyDescent="0.2">
      <c r="A151" s="2">
        <v>150</v>
      </c>
      <c r="B151" s="2" t="s">
        <v>31</v>
      </c>
      <c r="C151" s="2">
        <v>663</v>
      </c>
      <c r="D151" s="2">
        <v>221</v>
      </c>
      <c r="E151" s="2">
        <v>235</v>
      </c>
      <c r="F151" s="2">
        <v>23874.1</v>
      </c>
      <c r="G151" s="2">
        <v>708</v>
      </c>
      <c r="H151" s="2">
        <v>5918</v>
      </c>
      <c r="I151" s="2" t="s">
        <v>20</v>
      </c>
    </row>
    <row r="152" spans="1:9" ht="19" x14ac:dyDescent="0.2">
      <c r="A152" s="2">
        <v>151</v>
      </c>
      <c r="B152" s="2" t="s">
        <v>31</v>
      </c>
      <c r="C152" s="2">
        <v>663</v>
      </c>
      <c r="D152" s="2">
        <v>221</v>
      </c>
      <c r="E152" s="2">
        <v>235</v>
      </c>
      <c r="F152" s="2">
        <v>24269.599999999999</v>
      </c>
      <c r="G152" s="2">
        <v>708</v>
      </c>
      <c r="H152" s="2">
        <v>5918</v>
      </c>
      <c r="I152" s="2" t="s">
        <v>20</v>
      </c>
    </row>
    <row r="153" spans="1:9" ht="19" x14ac:dyDescent="0.2">
      <c r="A153" s="2">
        <v>152</v>
      </c>
      <c r="B153" s="2" t="s">
        <v>31</v>
      </c>
      <c r="C153" s="2">
        <v>663</v>
      </c>
      <c r="D153" s="2">
        <v>221</v>
      </c>
      <c r="E153" s="2">
        <v>235</v>
      </c>
      <c r="F153" s="2">
        <v>24064.3</v>
      </c>
      <c r="G153" s="2">
        <v>708</v>
      </c>
      <c r="H153" s="2">
        <v>5918</v>
      </c>
      <c r="I153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/>
  <dcterms:created xsi:type="dcterms:W3CDTF">2026-03-07T01:40:46Z</dcterms:created>
  <dcterms:modified xsi:type="dcterms:W3CDTF">2026-03-10T20:24:35Z</dcterms:modified>
</cp:coreProperties>
</file>