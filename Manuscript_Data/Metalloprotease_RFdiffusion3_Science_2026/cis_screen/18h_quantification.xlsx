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8_{1486F3A9-7101-E64A-B71B-D8298429A2AC}" xr6:coauthVersionLast="47" xr6:coauthVersionMax="47" xr10:uidLastSave="{00000000-0000-0000-0000-000000000000}"/>
  <bookViews>
    <workbookView xWindow="580" yWindow="1240" windowWidth="27640" windowHeight="15900" xr2:uid="{90675CB6-0223-BC45-AEAC-9A83073C85C0}"/>
  </bookViews>
  <sheets>
    <sheet name="18h_quantific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7" i="1" l="1"/>
  <c r="F187" i="1" s="1"/>
  <c r="G187" i="1" s="1"/>
  <c r="E188" i="1"/>
  <c r="F188" i="1" s="1"/>
  <c r="G188" i="1" s="1"/>
  <c r="E189" i="1"/>
  <c r="F189" i="1" s="1"/>
  <c r="G189" i="1" s="1"/>
  <c r="E190" i="1"/>
  <c r="F190" i="1" s="1"/>
  <c r="G190" i="1" s="1"/>
  <c r="E191" i="1"/>
  <c r="F191" i="1" s="1"/>
  <c r="G191" i="1" s="1"/>
  <c r="H191" i="1" s="1"/>
  <c r="I191" i="1" s="1"/>
  <c r="E192" i="1"/>
  <c r="F192" i="1" s="1"/>
  <c r="G192" i="1" s="1"/>
  <c r="E193" i="1"/>
  <c r="F193" i="1" s="1"/>
  <c r="G193" i="1" s="1"/>
  <c r="E194" i="1"/>
  <c r="F194" i="1" s="1"/>
  <c r="G194" i="1" s="1"/>
  <c r="E195" i="1"/>
  <c r="F195" i="1" s="1"/>
  <c r="G195" i="1" s="1"/>
  <c r="E196" i="1"/>
  <c r="F196" i="1" s="1"/>
  <c r="G196" i="1" s="1"/>
  <c r="E197" i="1"/>
  <c r="F197" i="1" s="1"/>
  <c r="G197" i="1" s="1"/>
  <c r="E198" i="1"/>
  <c r="F198" i="1" s="1"/>
  <c r="G198" i="1" s="1"/>
  <c r="E199" i="1"/>
  <c r="F199" i="1" s="1"/>
  <c r="G199" i="1" s="1"/>
  <c r="H199" i="1" s="1"/>
  <c r="I199" i="1" s="1"/>
  <c r="E200" i="1"/>
  <c r="F200" i="1" s="1"/>
  <c r="G200" i="1" s="1"/>
  <c r="E201" i="1"/>
  <c r="F201" i="1" s="1"/>
  <c r="G201" i="1" s="1"/>
  <c r="E202" i="1"/>
  <c r="F202" i="1" s="1"/>
  <c r="G202" i="1" s="1"/>
  <c r="E203" i="1"/>
  <c r="F203" i="1" s="1"/>
  <c r="G203" i="1" s="1"/>
  <c r="E204" i="1"/>
  <c r="F204" i="1" s="1"/>
  <c r="G204" i="1" s="1"/>
  <c r="E205" i="1"/>
  <c r="F205" i="1" s="1"/>
  <c r="G205" i="1" s="1"/>
  <c r="E206" i="1"/>
  <c r="F206" i="1" s="1"/>
  <c r="G206" i="1" s="1"/>
  <c r="E207" i="1"/>
  <c r="F207" i="1" s="1"/>
  <c r="G207" i="1" s="1"/>
  <c r="H207" i="1" s="1"/>
  <c r="I207" i="1" s="1"/>
  <c r="E208" i="1"/>
  <c r="F208" i="1" s="1"/>
  <c r="G208" i="1" s="1"/>
  <c r="E186" i="1"/>
  <c r="F186" i="1" s="1"/>
  <c r="G186" i="1" s="1"/>
  <c r="E185" i="1"/>
  <c r="F185" i="1" s="1"/>
  <c r="G185" i="1" s="1"/>
  <c r="H185" i="1" s="1"/>
  <c r="I185" i="1" s="1"/>
  <c r="E161" i="1"/>
  <c r="F161" i="1" s="1"/>
  <c r="G161" i="1" s="1"/>
  <c r="E162" i="1"/>
  <c r="F162" i="1"/>
  <c r="G162" i="1" s="1"/>
  <c r="E163" i="1"/>
  <c r="F163" i="1" s="1"/>
  <c r="G163" i="1" s="1"/>
  <c r="E164" i="1"/>
  <c r="F164" i="1"/>
  <c r="G164" i="1" s="1"/>
  <c r="E165" i="1"/>
  <c r="F165" i="1" s="1"/>
  <c r="G165" i="1" s="1"/>
  <c r="H165" i="1" s="1"/>
  <c r="I165" i="1" s="1"/>
  <c r="E166" i="1"/>
  <c r="F166" i="1" s="1"/>
  <c r="G166" i="1" s="1"/>
  <c r="E167" i="1"/>
  <c r="F167" i="1" s="1"/>
  <c r="G167" i="1" s="1"/>
  <c r="E168" i="1"/>
  <c r="F168" i="1"/>
  <c r="G168" i="1" s="1"/>
  <c r="E169" i="1"/>
  <c r="F169" i="1" s="1"/>
  <c r="G169" i="1" s="1"/>
  <c r="E170" i="1"/>
  <c r="F170" i="1"/>
  <c r="G170" i="1" s="1"/>
  <c r="E171" i="1"/>
  <c r="F171" i="1" s="1"/>
  <c r="G171" i="1" s="1"/>
  <c r="H171" i="1" s="1"/>
  <c r="I171" i="1" s="1"/>
  <c r="E172" i="1"/>
  <c r="F172" i="1"/>
  <c r="G172" i="1" s="1"/>
  <c r="E173" i="1"/>
  <c r="F173" i="1" s="1"/>
  <c r="G173" i="1" s="1"/>
  <c r="E174" i="1"/>
  <c r="F174" i="1"/>
  <c r="G174" i="1" s="1"/>
  <c r="E175" i="1"/>
  <c r="F175" i="1" s="1"/>
  <c r="G175" i="1" s="1"/>
  <c r="E176" i="1"/>
  <c r="F176" i="1"/>
  <c r="G176" i="1" s="1"/>
  <c r="E177" i="1"/>
  <c r="F177" i="1" s="1"/>
  <c r="G177" i="1" s="1"/>
  <c r="H177" i="1" s="1"/>
  <c r="I177" i="1" s="1"/>
  <c r="E178" i="1"/>
  <c r="F178" i="1"/>
  <c r="G178" i="1" s="1"/>
  <c r="E179" i="1"/>
  <c r="F179" i="1" s="1"/>
  <c r="G179" i="1" s="1"/>
  <c r="E180" i="1"/>
  <c r="F180" i="1"/>
  <c r="G180" i="1" s="1"/>
  <c r="E181" i="1"/>
  <c r="F181" i="1" s="1"/>
  <c r="G181" i="1" s="1"/>
  <c r="E182" i="1"/>
  <c r="F182" i="1"/>
  <c r="G182" i="1" s="1"/>
  <c r="E160" i="1"/>
  <c r="F160" i="1" s="1"/>
  <c r="G160" i="1" s="1"/>
  <c r="E159" i="1"/>
  <c r="F159" i="1" s="1"/>
  <c r="G159" i="1" s="1"/>
  <c r="H159" i="1" s="1"/>
  <c r="I159" i="1" s="1"/>
  <c r="E135" i="1"/>
  <c r="F135" i="1" s="1"/>
  <c r="G135" i="1" s="1"/>
  <c r="E136" i="1"/>
  <c r="F136" i="1"/>
  <c r="G136" i="1" s="1"/>
  <c r="E137" i="1"/>
  <c r="F137" i="1" s="1"/>
  <c r="G137" i="1" s="1"/>
  <c r="H137" i="1" s="1"/>
  <c r="I137" i="1" s="1"/>
  <c r="E138" i="1"/>
  <c r="F138" i="1"/>
  <c r="G138" i="1" s="1"/>
  <c r="E139" i="1"/>
  <c r="F139" i="1" s="1"/>
  <c r="G139" i="1" s="1"/>
  <c r="H139" i="1" s="1"/>
  <c r="I139" i="1" s="1"/>
  <c r="E140" i="1"/>
  <c r="F140" i="1"/>
  <c r="G140" i="1" s="1"/>
  <c r="E141" i="1"/>
  <c r="F141" i="1" s="1"/>
  <c r="G141" i="1" s="1"/>
  <c r="E142" i="1"/>
  <c r="F142" i="1" s="1"/>
  <c r="G142" i="1" s="1"/>
  <c r="E143" i="1"/>
  <c r="F143" i="1" s="1"/>
  <c r="G143" i="1" s="1"/>
  <c r="E144" i="1"/>
  <c r="F144" i="1"/>
  <c r="G144" i="1" s="1"/>
  <c r="E145" i="1"/>
  <c r="F145" i="1" s="1"/>
  <c r="G145" i="1" s="1"/>
  <c r="H145" i="1" s="1"/>
  <c r="I145" i="1" s="1"/>
  <c r="E146" i="1"/>
  <c r="F146" i="1"/>
  <c r="G146" i="1" s="1"/>
  <c r="E147" i="1"/>
  <c r="F147" i="1" s="1"/>
  <c r="G147" i="1" s="1"/>
  <c r="E148" i="1"/>
  <c r="F148" i="1"/>
  <c r="G148" i="1" s="1"/>
  <c r="E149" i="1"/>
  <c r="F149" i="1" s="1"/>
  <c r="G149" i="1" s="1"/>
  <c r="H149" i="1" s="1"/>
  <c r="I149" i="1" s="1"/>
  <c r="E150" i="1"/>
  <c r="F150" i="1"/>
  <c r="G150" i="1" s="1"/>
  <c r="E151" i="1"/>
  <c r="F151" i="1" s="1"/>
  <c r="G151" i="1" s="1"/>
  <c r="H151" i="1" s="1"/>
  <c r="I151" i="1" s="1"/>
  <c r="E152" i="1"/>
  <c r="F152" i="1"/>
  <c r="G152" i="1" s="1"/>
  <c r="E153" i="1"/>
  <c r="F153" i="1" s="1"/>
  <c r="G153" i="1" s="1"/>
  <c r="E154" i="1"/>
  <c r="F154" i="1"/>
  <c r="G154" i="1" s="1"/>
  <c r="E155" i="1"/>
  <c r="F155" i="1" s="1"/>
  <c r="G155" i="1" s="1"/>
  <c r="E156" i="1"/>
  <c r="F156" i="1" s="1"/>
  <c r="G156" i="1" s="1"/>
  <c r="E134" i="1"/>
  <c r="F134" i="1" s="1"/>
  <c r="G134" i="1" s="1"/>
  <c r="E133" i="1"/>
  <c r="F133" i="1" s="1"/>
  <c r="G133" i="1" s="1"/>
  <c r="H133" i="1" s="1"/>
  <c r="I133" i="1" s="1"/>
  <c r="E109" i="1"/>
  <c r="F109" i="1" s="1"/>
  <c r="G109" i="1" s="1"/>
  <c r="E110" i="1"/>
  <c r="F110" i="1" s="1"/>
  <c r="G110" i="1" s="1"/>
  <c r="E111" i="1"/>
  <c r="F111" i="1" s="1"/>
  <c r="G111" i="1" s="1"/>
  <c r="E112" i="1"/>
  <c r="F112" i="1"/>
  <c r="G112" i="1" s="1"/>
  <c r="E113" i="1"/>
  <c r="F113" i="1" s="1"/>
  <c r="G113" i="1" s="1"/>
  <c r="E114" i="1"/>
  <c r="F114" i="1"/>
  <c r="G114" i="1" s="1"/>
  <c r="E115" i="1"/>
  <c r="F115" i="1" s="1"/>
  <c r="G115" i="1" s="1"/>
  <c r="E116" i="1"/>
  <c r="F116" i="1" s="1"/>
  <c r="G116" i="1" s="1"/>
  <c r="E117" i="1"/>
  <c r="F117" i="1" s="1"/>
  <c r="G117" i="1" s="1"/>
  <c r="E118" i="1"/>
  <c r="F118" i="1"/>
  <c r="G118" i="1" s="1"/>
  <c r="E119" i="1"/>
  <c r="F119" i="1" s="1"/>
  <c r="G119" i="1" s="1"/>
  <c r="E120" i="1"/>
  <c r="F120" i="1"/>
  <c r="G120" i="1"/>
  <c r="E121" i="1"/>
  <c r="F121" i="1" s="1"/>
  <c r="G121" i="1" s="1"/>
  <c r="E122" i="1"/>
  <c r="F122" i="1"/>
  <c r="G122" i="1" s="1"/>
  <c r="E123" i="1"/>
  <c r="F123" i="1" s="1"/>
  <c r="G123" i="1" s="1"/>
  <c r="E124" i="1"/>
  <c r="F124" i="1"/>
  <c r="G124" i="1"/>
  <c r="E125" i="1"/>
  <c r="F125" i="1" s="1"/>
  <c r="G125" i="1" s="1"/>
  <c r="E126" i="1"/>
  <c r="F126" i="1"/>
  <c r="G126" i="1" s="1"/>
  <c r="E127" i="1"/>
  <c r="F127" i="1" s="1"/>
  <c r="G127" i="1" s="1"/>
  <c r="E128" i="1"/>
  <c r="F128" i="1" s="1"/>
  <c r="G128" i="1" s="1"/>
  <c r="E108" i="1"/>
  <c r="F108" i="1" s="1"/>
  <c r="G108" i="1" s="1"/>
  <c r="E107" i="1"/>
  <c r="F107" i="1" s="1"/>
  <c r="G107" i="1" s="1"/>
  <c r="E83" i="1"/>
  <c r="F83" i="1" s="1"/>
  <c r="G83" i="1" s="1"/>
  <c r="E84" i="1"/>
  <c r="F84" i="1" s="1"/>
  <c r="G84" i="1" s="1"/>
  <c r="E85" i="1"/>
  <c r="F85" i="1"/>
  <c r="G85" i="1"/>
  <c r="E86" i="1"/>
  <c r="F86" i="1"/>
  <c r="G86" i="1"/>
  <c r="H85" i="1" s="1"/>
  <c r="I85" i="1" s="1"/>
  <c r="E87" i="1"/>
  <c r="F87" i="1"/>
  <c r="G87" i="1"/>
  <c r="E88" i="1"/>
  <c r="F88" i="1"/>
  <c r="G88" i="1"/>
  <c r="H87" i="1" s="1"/>
  <c r="I87" i="1" s="1"/>
  <c r="E89" i="1"/>
  <c r="F89" i="1"/>
  <c r="G89" i="1" s="1"/>
  <c r="H89" i="1" s="1"/>
  <c r="I89" i="1" s="1"/>
  <c r="E90" i="1"/>
  <c r="F90" i="1"/>
  <c r="G90" i="1"/>
  <c r="E91" i="1"/>
  <c r="F91" i="1"/>
  <c r="G91" i="1"/>
  <c r="E92" i="1"/>
  <c r="F92" i="1" s="1"/>
  <c r="G92" i="1" s="1"/>
  <c r="H91" i="1" s="1"/>
  <c r="I91" i="1" s="1"/>
  <c r="E93" i="1"/>
  <c r="F93" i="1"/>
  <c r="G93" i="1"/>
  <c r="E94" i="1"/>
  <c r="F94" i="1"/>
  <c r="G94" i="1"/>
  <c r="H93" i="1" s="1"/>
  <c r="I93" i="1" s="1"/>
  <c r="E95" i="1"/>
  <c r="F95" i="1"/>
  <c r="G95" i="1"/>
  <c r="E96" i="1"/>
  <c r="F96" i="1"/>
  <c r="G96" i="1"/>
  <c r="H95" i="1" s="1"/>
  <c r="I95" i="1" s="1"/>
  <c r="E97" i="1"/>
  <c r="F97" i="1"/>
  <c r="G97" i="1" s="1"/>
  <c r="E98" i="1"/>
  <c r="F98" i="1"/>
  <c r="G98" i="1"/>
  <c r="E99" i="1"/>
  <c r="F99" i="1"/>
  <c r="G99" i="1"/>
  <c r="E100" i="1"/>
  <c r="F100" i="1" s="1"/>
  <c r="G100" i="1" s="1"/>
  <c r="H99" i="1" s="1"/>
  <c r="I99" i="1" s="1"/>
  <c r="E101" i="1"/>
  <c r="F101" i="1"/>
  <c r="G101" i="1"/>
  <c r="E102" i="1"/>
  <c r="F102" i="1"/>
  <c r="G102" i="1"/>
  <c r="H101" i="1" s="1"/>
  <c r="I101" i="1" s="1"/>
  <c r="E103" i="1"/>
  <c r="F103" i="1"/>
  <c r="G103" i="1"/>
  <c r="E104" i="1"/>
  <c r="F104" i="1"/>
  <c r="G104" i="1"/>
  <c r="H103" i="1" s="1"/>
  <c r="I103" i="1" s="1"/>
  <c r="E82" i="1"/>
  <c r="F82" i="1" s="1"/>
  <c r="G82" i="1" s="1"/>
  <c r="E81" i="1"/>
  <c r="F81" i="1" s="1"/>
  <c r="G81" i="1" s="1"/>
  <c r="E57" i="1"/>
  <c r="F57" i="1" s="1"/>
  <c r="G57" i="1" s="1"/>
  <c r="E58" i="1"/>
  <c r="F58" i="1" s="1"/>
  <c r="G58" i="1" s="1"/>
  <c r="E59" i="1"/>
  <c r="F59" i="1" s="1"/>
  <c r="G59" i="1" s="1"/>
  <c r="E60" i="1"/>
  <c r="F60" i="1" s="1"/>
  <c r="G60" i="1" s="1"/>
  <c r="E61" i="1"/>
  <c r="F61" i="1" s="1"/>
  <c r="G61" i="1" s="1"/>
  <c r="E62" i="1"/>
  <c r="F62" i="1" s="1"/>
  <c r="G62" i="1" s="1"/>
  <c r="E63" i="1"/>
  <c r="F63" i="1" s="1"/>
  <c r="G63" i="1" s="1"/>
  <c r="E64" i="1"/>
  <c r="F64" i="1" s="1"/>
  <c r="G64" i="1" s="1"/>
  <c r="E65" i="1"/>
  <c r="F65" i="1" s="1"/>
  <c r="G65" i="1" s="1"/>
  <c r="E66" i="1"/>
  <c r="F66" i="1" s="1"/>
  <c r="G66" i="1" s="1"/>
  <c r="E67" i="1"/>
  <c r="F67" i="1" s="1"/>
  <c r="G67" i="1" s="1"/>
  <c r="E68" i="1"/>
  <c r="F68" i="1" s="1"/>
  <c r="G68" i="1" s="1"/>
  <c r="E69" i="1"/>
  <c r="F69" i="1" s="1"/>
  <c r="G69" i="1" s="1"/>
  <c r="E70" i="1"/>
  <c r="F70" i="1" s="1"/>
  <c r="G70" i="1" s="1"/>
  <c r="E71" i="1"/>
  <c r="F71" i="1" s="1"/>
  <c r="G71" i="1" s="1"/>
  <c r="E72" i="1"/>
  <c r="F72" i="1" s="1"/>
  <c r="G72" i="1" s="1"/>
  <c r="E73" i="1"/>
  <c r="F73" i="1" s="1"/>
  <c r="G73" i="1" s="1"/>
  <c r="E74" i="1"/>
  <c r="F74" i="1" s="1"/>
  <c r="G74" i="1" s="1"/>
  <c r="E75" i="1"/>
  <c r="F75" i="1" s="1"/>
  <c r="G75" i="1" s="1"/>
  <c r="E76" i="1"/>
  <c r="F76" i="1" s="1"/>
  <c r="G76" i="1" s="1"/>
  <c r="E77" i="1"/>
  <c r="F77" i="1" s="1"/>
  <c r="G77" i="1" s="1"/>
  <c r="E78" i="1"/>
  <c r="F78" i="1" s="1"/>
  <c r="G78" i="1" s="1"/>
  <c r="E56" i="1"/>
  <c r="F56" i="1" s="1"/>
  <c r="G56" i="1" s="1"/>
  <c r="E55" i="1"/>
  <c r="F55" i="1" s="1"/>
  <c r="G55" i="1" s="1"/>
  <c r="E31" i="1"/>
  <c r="F31" i="1" s="1"/>
  <c r="G31" i="1" s="1"/>
  <c r="E32" i="1"/>
  <c r="F32" i="1" s="1"/>
  <c r="G32" i="1" s="1"/>
  <c r="E33" i="1"/>
  <c r="F33" i="1"/>
  <c r="G33" i="1"/>
  <c r="E34" i="1"/>
  <c r="F34" i="1" s="1"/>
  <c r="G34" i="1" s="1"/>
  <c r="H33" i="1" s="1"/>
  <c r="I33" i="1" s="1"/>
  <c r="E35" i="1"/>
  <c r="F35" i="1"/>
  <c r="G35" i="1" s="1"/>
  <c r="E36" i="1"/>
  <c r="F36" i="1" s="1"/>
  <c r="G36" i="1" s="1"/>
  <c r="E37" i="1"/>
  <c r="F37" i="1"/>
  <c r="G37" i="1"/>
  <c r="E38" i="1"/>
  <c r="F38" i="1" s="1"/>
  <c r="G38" i="1" s="1"/>
  <c r="H37" i="1" s="1"/>
  <c r="I37" i="1" s="1"/>
  <c r="E39" i="1"/>
  <c r="F39" i="1"/>
  <c r="G39" i="1" s="1"/>
  <c r="E40" i="1"/>
  <c r="F40" i="1" s="1"/>
  <c r="G40" i="1" s="1"/>
  <c r="E41" i="1"/>
  <c r="F41" i="1"/>
  <c r="G41" i="1"/>
  <c r="E42" i="1"/>
  <c r="F42" i="1" s="1"/>
  <c r="G42" i="1" s="1"/>
  <c r="H41" i="1" s="1"/>
  <c r="I41" i="1" s="1"/>
  <c r="E43" i="1"/>
  <c r="F43" i="1"/>
  <c r="G43" i="1" s="1"/>
  <c r="E44" i="1"/>
  <c r="F44" i="1" s="1"/>
  <c r="G44" i="1" s="1"/>
  <c r="E45" i="1"/>
  <c r="F45" i="1"/>
  <c r="G45" i="1"/>
  <c r="E46" i="1"/>
  <c r="F46" i="1" s="1"/>
  <c r="G46" i="1" s="1"/>
  <c r="H45" i="1" s="1"/>
  <c r="I45" i="1" s="1"/>
  <c r="E47" i="1"/>
  <c r="F47" i="1"/>
  <c r="G47" i="1" s="1"/>
  <c r="E48" i="1"/>
  <c r="F48" i="1" s="1"/>
  <c r="G48" i="1" s="1"/>
  <c r="E49" i="1"/>
  <c r="F49" i="1"/>
  <c r="G49" i="1"/>
  <c r="E50" i="1"/>
  <c r="F50" i="1" s="1"/>
  <c r="G50" i="1" s="1"/>
  <c r="H49" i="1" s="1"/>
  <c r="I49" i="1" s="1"/>
  <c r="E51" i="1"/>
  <c r="F51" i="1"/>
  <c r="G51" i="1" s="1"/>
  <c r="E52" i="1"/>
  <c r="F52" i="1" s="1"/>
  <c r="G52" i="1" s="1"/>
  <c r="E30" i="1"/>
  <c r="F30" i="1" s="1"/>
  <c r="G30" i="1" s="1"/>
  <c r="E29" i="1"/>
  <c r="F29" i="1" s="1"/>
  <c r="G29" i="1" s="1"/>
  <c r="H29" i="1" s="1"/>
  <c r="I29" i="1" s="1"/>
  <c r="E25" i="1"/>
  <c r="F25" i="1" s="1"/>
  <c r="G25" i="1" s="1"/>
  <c r="E24" i="1"/>
  <c r="F24" i="1" s="1"/>
  <c r="G24" i="1" s="1"/>
  <c r="E23" i="1"/>
  <c r="F23" i="1" s="1"/>
  <c r="G23" i="1" s="1"/>
  <c r="E22" i="1"/>
  <c r="F22" i="1" s="1"/>
  <c r="G22" i="1" s="1"/>
  <c r="H22" i="1" s="1"/>
  <c r="I22" i="1" s="1"/>
  <c r="E13" i="1"/>
  <c r="F13" i="1" s="1"/>
  <c r="G13" i="1" s="1"/>
  <c r="E12" i="1"/>
  <c r="F12" i="1" s="1"/>
  <c r="G12" i="1" s="1"/>
  <c r="H12" i="1" s="1"/>
  <c r="I12" i="1" s="1"/>
  <c r="E11" i="1"/>
  <c r="F11" i="1" s="1"/>
  <c r="G11" i="1" s="1"/>
  <c r="E10" i="1"/>
  <c r="F10" i="1" s="1"/>
  <c r="G10" i="1" s="1"/>
  <c r="H10" i="1" s="1"/>
  <c r="I10" i="1" s="1"/>
  <c r="E9" i="1"/>
  <c r="F9" i="1" s="1"/>
  <c r="G9" i="1" s="1"/>
  <c r="E8" i="1"/>
  <c r="F8" i="1" s="1"/>
  <c r="G8" i="1" s="1"/>
  <c r="H8" i="1" s="1"/>
  <c r="I8" i="1" s="1"/>
  <c r="E7" i="1"/>
  <c r="F7" i="1" s="1"/>
  <c r="G7" i="1" s="1"/>
  <c r="E6" i="1"/>
  <c r="F6" i="1" s="1"/>
  <c r="G6" i="1" s="1"/>
  <c r="H6" i="1" s="1"/>
  <c r="I6" i="1" s="1"/>
  <c r="E5" i="1"/>
  <c r="F5" i="1" s="1"/>
  <c r="G5" i="1" s="1"/>
  <c r="E4" i="1"/>
  <c r="F4" i="1" s="1"/>
  <c r="G4" i="1" s="1"/>
  <c r="H4" i="1" s="1"/>
  <c r="I4" i="1" s="1"/>
  <c r="E3" i="1"/>
  <c r="F3" i="1" s="1"/>
  <c r="G3" i="1" s="1"/>
  <c r="E2" i="1"/>
  <c r="F2" i="1" s="1"/>
  <c r="G2" i="1" s="1"/>
  <c r="H2" i="1" s="1"/>
  <c r="I2" i="1" s="1"/>
  <c r="H193" i="1" l="1"/>
  <c r="I193" i="1" s="1"/>
  <c r="H197" i="1"/>
  <c r="I197" i="1" s="1"/>
  <c r="H201" i="1"/>
  <c r="H205" i="1"/>
  <c r="I205" i="1" s="1"/>
  <c r="H189" i="1"/>
  <c r="I189" i="1" s="1"/>
  <c r="H203" i="1"/>
  <c r="I203" i="1" s="1"/>
  <c r="H195" i="1"/>
  <c r="I195" i="1" s="1"/>
  <c r="H187" i="1"/>
  <c r="I187" i="1" s="1"/>
  <c r="H163" i="1"/>
  <c r="I163" i="1" s="1"/>
  <c r="H179" i="1"/>
  <c r="I179" i="1" s="1"/>
  <c r="H173" i="1"/>
  <c r="I173" i="1" s="1"/>
  <c r="H181" i="1"/>
  <c r="I181" i="1" s="1"/>
  <c r="H175" i="1"/>
  <c r="I175" i="1" s="1"/>
  <c r="H169" i="1"/>
  <c r="I169" i="1" s="1"/>
  <c r="H167" i="1"/>
  <c r="I167" i="1" s="1"/>
  <c r="H161" i="1"/>
  <c r="I161" i="1" s="1"/>
  <c r="H155" i="1"/>
  <c r="I155" i="1" s="1"/>
  <c r="H153" i="1"/>
  <c r="I153" i="1" s="1"/>
  <c r="H147" i="1"/>
  <c r="I147" i="1" s="1"/>
  <c r="H141" i="1"/>
  <c r="I141" i="1" s="1"/>
  <c r="H143" i="1"/>
  <c r="I143" i="1" s="1"/>
  <c r="H135" i="1"/>
  <c r="I135" i="1" s="1"/>
  <c r="H117" i="1"/>
  <c r="I117" i="1" s="1"/>
  <c r="H81" i="1"/>
  <c r="I81" i="1" s="1"/>
  <c r="H113" i="1"/>
  <c r="I113" i="1" s="1"/>
  <c r="H121" i="1"/>
  <c r="I121" i="1" s="1"/>
  <c r="H125" i="1"/>
  <c r="I125" i="1" s="1"/>
  <c r="H97" i="1"/>
  <c r="I97" i="1" s="1"/>
  <c r="H75" i="1"/>
  <c r="I75" i="1" s="1"/>
  <c r="H51" i="1"/>
  <c r="I51" i="1" s="1"/>
  <c r="H47" i="1"/>
  <c r="I47" i="1" s="1"/>
  <c r="H43" i="1"/>
  <c r="I43" i="1" s="1"/>
  <c r="H39" i="1"/>
  <c r="I39" i="1" s="1"/>
  <c r="H35" i="1"/>
  <c r="I35" i="1" s="1"/>
  <c r="H127" i="1"/>
  <c r="I127" i="1" s="1"/>
  <c r="H123" i="1"/>
  <c r="I123" i="1" s="1"/>
  <c r="H119" i="1"/>
  <c r="I119" i="1" s="1"/>
  <c r="H109" i="1"/>
  <c r="I109" i="1" s="1"/>
  <c r="H115" i="1"/>
  <c r="I115" i="1" s="1"/>
  <c r="H111" i="1"/>
  <c r="I111" i="1" s="1"/>
  <c r="H107" i="1"/>
  <c r="I107" i="1" s="1"/>
  <c r="H83" i="1"/>
  <c r="I83" i="1" s="1"/>
  <c r="H59" i="1"/>
  <c r="I59" i="1" s="1"/>
  <c r="H63" i="1"/>
  <c r="I63" i="1" s="1"/>
  <c r="H61" i="1"/>
  <c r="I61" i="1" s="1"/>
  <c r="H71" i="1"/>
  <c r="I71" i="1" s="1"/>
  <c r="H77" i="1"/>
  <c r="I77" i="1" s="1"/>
  <c r="H69" i="1"/>
  <c r="I69" i="1" s="1"/>
  <c r="H67" i="1"/>
  <c r="I67" i="1" s="1"/>
  <c r="H73" i="1"/>
  <c r="I73" i="1" s="1"/>
  <c r="H65" i="1"/>
  <c r="I65" i="1" s="1"/>
  <c r="H57" i="1"/>
  <c r="I57" i="1" s="1"/>
  <c r="H55" i="1"/>
  <c r="I55" i="1" s="1"/>
  <c r="H31" i="1"/>
  <c r="I31" i="1" s="1"/>
  <c r="H24" i="1"/>
  <c r="I24" i="1" s="1"/>
</calcChain>
</file>

<file path=xl/sharedStrings.xml><?xml version="1.0" encoding="utf-8"?>
<sst xmlns="http://schemas.openxmlformats.org/spreadsheetml/2006/main" count="264" uniqueCount="18">
  <si>
    <t>substrate band</t>
  </si>
  <si>
    <t>total</t>
  </si>
  <si>
    <t>subtrate fraction</t>
  </si>
  <si>
    <t>product fraction</t>
  </si>
  <si>
    <t>wt subtract ko</t>
  </si>
  <si>
    <t>digested fraction</t>
  </si>
  <si>
    <t>w Zn</t>
  </si>
  <si>
    <t>no Zn</t>
  </si>
  <si>
    <t>product band 1</t>
  </si>
  <si>
    <t>product band 2</t>
  </si>
  <si>
    <t>gel1</t>
  </si>
  <si>
    <t>gel 2</t>
  </si>
  <si>
    <t>gel 3</t>
  </si>
  <si>
    <t>gel 5</t>
  </si>
  <si>
    <t>gel 4</t>
  </si>
  <si>
    <t>gel 6</t>
  </si>
  <si>
    <t>gel 7</t>
  </si>
  <si>
    <t>gel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</si>
</sst>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33BF-32C5-3347-A8D3-2B576AEEDA50}">
  <dimension ref="A1:K208"/>
  <sheetViews>
    <sheetView tabSelected="1" topLeftCell="A181" zoomScale="50" workbookViewId="0">
      <selection activeCell="C198" sqref="C198"/>
    </sheetView>
  </sheetViews>
  <sheetFormatPr baseColWidth="10" defaultRowHeight="16" x14ac:dyDescent="0.2"/>
  <sheetData>
    <row r="1" spans="1:10" x14ac:dyDescent="0.2">
      <c r="A1" t="s">
        <v>10</v>
      </c>
      <c r="B1" t="s">
        <v>0</v>
      </c>
      <c r="C1" t="s">
        <v>8</v>
      </c>
      <c r="D1" t="s">
        <v>9</v>
      </c>
      <c r="E1" t="s">
        <v>1</v>
      </c>
      <c r="F1" t="s">
        <v>2</v>
      </c>
      <c r="G1" t="s">
        <v>3</v>
      </c>
      <c r="H1" t="s">
        <v>4</v>
      </c>
      <c r="I1" t="s">
        <v>5</v>
      </c>
    </row>
    <row r="2" spans="1:10" x14ac:dyDescent="0.2">
      <c r="A2">
        <v>1</v>
      </c>
      <c r="B2">
        <v>7675.0829999999996</v>
      </c>
      <c r="C2">
        <v>3005.79</v>
      </c>
      <c r="E2">
        <f>C2+B2</f>
        <v>10680.873</v>
      </c>
      <c r="F2">
        <f>B2/E2</f>
        <v>0.71858199231467312</v>
      </c>
      <c r="G2">
        <f>1-F2</f>
        <v>0.28141800768532688</v>
      </c>
      <c r="H2">
        <f>G2-G3</f>
        <v>0.28141800768532688</v>
      </c>
      <c r="I2" s="1">
        <f>H2/F3</f>
        <v>0.28141800768532688</v>
      </c>
      <c r="J2" t="s">
        <v>6</v>
      </c>
    </row>
    <row r="3" spans="1:10" x14ac:dyDescent="0.2">
      <c r="A3">
        <v>2</v>
      </c>
      <c r="B3">
        <v>3033.355</v>
      </c>
      <c r="C3">
        <v>0</v>
      </c>
      <c r="E3">
        <f>C3+B3</f>
        <v>3033.355</v>
      </c>
      <c r="F3">
        <f>B3/E3</f>
        <v>1</v>
      </c>
      <c r="G3">
        <f>1-F3</f>
        <v>0</v>
      </c>
      <c r="I3" s="1"/>
      <c r="J3" t="s">
        <v>7</v>
      </c>
    </row>
    <row r="4" spans="1:10" x14ac:dyDescent="0.2">
      <c r="A4">
        <v>3</v>
      </c>
      <c r="B4">
        <v>3091.2339999999999</v>
      </c>
      <c r="C4">
        <v>1552.82</v>
      </c>
      <c r="E4">
        <f t="shared" ref="E4:E17" si="0">C4+B4</f>
        <v>4644.0540000000001</v>
      </c>
      <c r="F4">
        <f t="shared" ref="F4:F17" si="1">B4/E4</f>
        <v>0.66563265629555557</v>
      </c>
      <c r="G4">
        <f t="shared" ref="G4:G17" si="2">1-F4</f>
        <v>0.33436734370444443</v>
      </c>
      <c r="H4">
        <f t="shared" ref="H4" si="3">G4-G5</f>
        <v>0.33436734370444443</v>
      </c>
      <c r="I4" s="1">
        <f t="shared" ref="I4" si="4">H4/F5</f>
        <v>0.33436734370444443</v>
      </c>
      <c r="J4" t="s">
        <v>6</v>
      </c>
    </row>
    <row r="5" spans="1:10" x14ac:dyDescent="0.2">
      <c r="A5">
        <v>4</v>
      </c>
      <c r="B5">
        <v>4075.355</v>
      </c>
      <c r="C5">
        <v>0</v>
      </c>
      <c r="E5">
        <f t="shared" si="0"/>
        <v>4075.355</v>
      </c>
      <c r="F5">
        <f t="shared" si="1"/>
        <v>1</v>
      </c>
      <c r="G5">
        <f t="shared" si="2"/>
        <v>0</v>
      </c>
      <c r="I5" s="1"/>
      <c r="J5" t="s">
        <v>7</v>
      </c>
    </row>
    <row r="6" spans="1:10" x14ac:dyDescent="0.2">
      <c r="A6">
        <v>5</v>
      </c>
      <c r="B6">
        <v>2326.8200000000002</v>
      </c>
      <c r="C6">
        <v>489.09199999999998</v>
      </c>
      <c r="D6">
        <v>1004.749</v>
      </c>
      <c r="E6">
        <f t="shared" si="0"/>
        <v>2815.9120000000003</v>
      </c>
      <c r="F6">
        <f t="shared" si="1"/>
        <v>0.82631133359281117</v>
      </c>
      <c r="G6">
        <f t="shared" si="2"/>
        <v>0.17368866640718883</v>
      </c>
      <c r="H6">
        <f t="shared" ref="H6" si="5">G6-G7</f>
        <v>0.17368866640718883</v>
      </c>
      <c r="I6" s="1">
        <f t="shared" ref="I6" si="6">H6/F7</f>
        <v>0.17368866640718883</v>
      </c>
      <c r="J6" t="s">
        <v>6</v>
      </c>
    </row>
    <row r="7" spans="1:10" x14ac:dyDescent="0.2">
      <c r="A7">
        <v>6</v>
      </c>
      <c r="B7">
        <v>3199.598</v>
      </c>
      <c r="C7">
        <v>0</v>
      </c>
      <c r="E7">
        <f t="shared" si="0"/>
        <v>3199.598</v>
      </c>
      <c r="F7">
        <f t="shared" si="1"/>
        <v>1</v>
      </c>
      <c r="G7">
        <f t="shared" si="2"/>
        <v>0</v>
      </c>
      <c r="I7" s="1"/>
      <c r="J7" t="s">
        <v>7</v>
      </c>
    </row>
    <row r="8" spans="1:10" x14ac:dyDescent="0.2">
      <c r="A8">
        <v>7</v>
      </c>
      <c r="B8">
        <v>323.26299999999998</v>
      </c>
      <c r="C8">
        <v>368.678</v>
      </c>
      <c r="E8">
        <f t="shared" si="0"/>
        <v>691.94100000000003</v>
      </c>
      <c r="F8">
        <f t="shared" si="1"/>
        <v>0.46718289565150778</v>
      </c>
      <c r="G8">
        <f t="shared" si="2"/>
        <v>0.53281710434849217</v>
      </c>
      <c r="H8">
        <f t="shared" ref="H8" si="7">G8-G9</f>
        <v>0.53281710434849217</v>
      </c>
      <c r="I8" s="1">
        <f t="shared" ref="I8" si="8">H8/F9</f>
        <v>0.53281710434849217</v>
      </c>
      <c r="J8" t="s">
        <v>6</v>
      </c>
    </row>
    <row r="9" spans="1:10" x14ac:dyDescent="0.2">
      <c r="A9">
        <v>8</v>
      </c>
      <c r="B9">
        <v>609.678</v>
      </c>
      <c r="C9">
        <v>0</v>
      </c>
      <c r="E9">
        <f t="shared" si="0"/>
        <v>609.678</v>
      </c>
      <c r="F9">
        <f t="shared" si="1"/>
        <v>1</v>
      </c>
      <c r="G9">
        <f t="shared" si="2"/>
        <v>0</v>
      </c>
      <c r="I9" s="1"/>
      <c r="J9" t="s">
        <v>7</v>
      </c>
    </row>
    <row r="10" spans="1:10" x14ac:dyDescent="0.2">
      <c r="A10">
        <v>9</v>
      </c>
      <c r="B10">
        <v>3076.1840000000002</v>
      </c>
      <c r="C10">
        <v>138.142</v>
      </c>
      <c r="E10">
        <f t="shared" si="0"/>
        <v>3214.326</v>
      </c>
      <c r="F10">
        <f t="shared" si="1"/>
        <v>0.95702302753361057</v>
      </c>
      <c r="G10">
        <f t="shared" si="2"/>
        <v>4.2976972466389429E-2</v>
      </c>
      <c r="H10">
        <f t="shared" ref="H10" si="9">G10-G11</f>
        <v>4.2976972466389429E-2</v>
      </c>
      <c r="I10" s="1">
        <f t="shared" ref="I10" si="10">H10/F11</f>
        <v>4.2976972466389429E-2</v>
      </c>
      <c r="J10" t="s">
        <v>6</v>
      </c>
    </row>
    <row r="11" spans="1:10" x14ac:dyDescent="0.2">
      <c r="A11">
        <v>10</v>
      </c>
      <c r="B11">
        <v>2411.9409999999998</v>
      </c>
      <c r="C11">
        <v>0</v>
      </c>
      <c r="E11">
        <f t="shared" si="0"/>
        <v>2411.9409999999998</v>
      </c>
      <c r="F11">
        <f t="shared" si="1"/>
        <v>1</v>
      </c>
      <c r="G11">
        <f t="shared" si="2"/>
        <v>0</v>
      </c>
      <c r="I11" s="1"/>
      <c r="J11" t="s">
        <v>7</v>
      </c>
    </row>
    <row r="12" spans="1:10" x14ac:dyDescent="0.2">
      <c r="A12">
        <v>11</v>
      </c>
      <c r="B12">
        <v>1436.577</v>
      </c>
      <c r="C12">
        <v>1059.6980000000001</v>
      </c>
      <c r="E12">
        <f t="shared" si="0"/>
        <v>2496.2750000000001</v>
      </c>
      <c r="F12">
        <f t="shared" si="1"/>
        <v>0.57548827753352494</v>
      </c>
      <c r="G12">
        <f t="shared" si="2"/>
        <v>0.42451172246647506</v>
      </c>
      <c r="H12">
        <f t="shared" ref="H12" si="11">G12-G13</f>
        <v>0.42451172246647506</v>
      </c>
      <c r="I12" s="1">
        <f t="shared" ref="I12" si="12">H12/F13</f>
        <v>0.42451172246647506</v>
      </c>
      <c r="J12" t="s">
        <v>6</v>
      </c>
    </row>
    <row r="13" spans="1:10" x14ac:dyDescent="0.2">
      <c r="A13">
        <v>12</v>
      </c>
      <c r="B13">
        <v>2650.6480000000001</v>
      </c>
      <c r="C13">
        <v>0</v>
      </c>
      <c r="E13">
        <f t="shared" si="0"/>
        <v>2650.6480000000001</v>
      </c>
      <c r="F13">
        <f t="shared" si="1"/>
        <v>1</v>
      </c>
      <c r="G13">
        <f t="shared" si="2"/>
        <v>0</v>
      </c>
      <c r="I13" s="1"/>
      <c r="J13" t="s">
        <v>7</v>
      </c>
    </row>
    <row r="14" spans="1:10" x14ac:dyDescent="0.2">
      <c r="A14">
        <v>13</v>
      </c>
      <c r="I14">
        <v>0</v>
      </c>
      <c r="J14" t="s">
        <v>6</v>
      </c>
    </row>
    <row r="15" spans="1:10" x14ac:dyDescent="0.2">
      <c r="A15">
        <v>14</v>
      </c>
      <c r="J15" t="s">
        <v>7</v>
      </c>
    </row>
    <row r="16" spans="1:10" x14ac:dyDescent="0.2">
      <c r="A16">
        <v>15</v>
      </c>
      <c r="I16">
        <v>0</v>
      </c>
      <c r="J16" t="s">
        <v>6</v>
      </c>
    </row>
    <row r="17" spans="1:10" x14ac:dyDescent="0.2">
      <c r="A17">
        <v>16</v>
      </c>
      <c r="J17" t="s">
        <v>7</v>
      </c>
    </row>
    <row r="18" spans="1:10" x14ac:dyDescent="0.2">
      <c r="A18">
        <v>17</v>
      </c>
      <c r="I18">
        <v>0</v>
      </c>
      <c r="J18" t="s">
        <v>6</v>
      </c>
    </row>
    <row r="19" spans="1:10" x14ac:dyDescent="0.2">
      <c r="A19">
        <v>18</v>
      </c>
      <c r="J19" t="s">
        <v>7</v>
      </c>
    </row>
    <row r="20" spans="1:10" x14ac:dyDescent="0.2">
      <c r="A20">
        <v>19</v>
      </c>
      <c r="I20">
        <v>0</v>
      </c>
      <c r="J20" t="s">
        <v>6</v>
      </c>
    </row>
    <row r="21" spans="1:10" x14ac:dyDescent="0.2">
      <c r="A21">
        <v>20</v>
      </c>
      <c r="J21" t="s">
        <v>7</v>
      </c>
    </row>
    <row r="22" spans="1:10" x14ac:dyDescent="0.2">
      <c r="A22">
        <v>21</v>
      </c>
      <c r="B22">
        <v>2329.8200000000002</v>
      </c>
      <c r="C22">
        <v>1516.87</v>
      </c>
      <c r="E22">
        <f>C22+B22</f>
        <v>3846.69</v>
      </c>
      <c r="F22">
        <f>B22/E22</f>
        <v>0.6056687697734936</v>
      </c>
      <c r="G22">
        <f>1-F22</f>
        <v>0.3943312302265064</v>
      </c>
      <c r="H22">
        <f t="shared" ref="H22" si="13">G22-G23</f>
        <v>0.37831331318296624</v>
      </c>
      <c r="I22" s="1">
        <f t="shared" ref="I22" si="14">H22/F23</f>
        <v>0.38447174977647047</v>
      </c>
      <c r="J22" t="s">
        <v>6</v>
      </c>
    </row>
    <row r="23" spans="1:10" x14ac:dyDescent="0.2">
      <c r="A23">
        <v>22</v>
      </c>
      <c r="B23">
        <v>3733.598</v>
      </c>
      <c r="C23">
        <v>60.777999999999999</v>
      </c>
      <c r="E23">
        <f>C23+B23</f>
        <v>3794.3759999999997</v>
      </c>
      <c r="F23">
        <f>B23/E23</f>
        <v>0.98398208295645984</v>
      </c>
      <c r="G23">
        <f>1-F23</f>
        <v>1.6017917043540164E-2</v>
      </c>
      <c r="I23" s="1"/>
      <c r="J23" t="s">
        <v>7</v>
      </c>
    </row>
    <row r="24" spans="1:10" x14ac:dyDescent="0.2">
      <c r="A24">
        <v>23</v>
      </c>
      <c r="B24">
        <v>1255.8699999999999</v>
      </c>
      <c r="C24">
        <v>4277.5690000000004</v>
      </c>
      <c r="D24">
        <v>2808.82</v>
      </c>
      <c r="E24">
        <f>C24+B24</f>
        <v>5533.4390000000003</v>
      </c>
      <c r="F24">
        <f>B24/E24</f>
        <v>0.22696012371330015</v>
      </c>
      <c r="G24">
        <f>1-F24</f>
        <v>0.7730398762866999</v>
      </c>
      <c r="H24">
        <f t="shared" ref="H24" si="15">G24-G25</f>
        <v>0.64329669572753057</v>
      </c>
      <c r="I24" s="1">
        <f t="shared" ref="I24" si="16">H24/F25</f>
        <v>0.73920328040735195</v>
      </c>
      <c r="J24" t="s">
        <v>6</v>
      </c>
    </row>
    <row r="25" spans="1:10" x14ac:dyDescent="0.2">
      <c r="A25">
        <v>24</v>
      </c>
      <c r="B25">
        <v>4016.9409999999998</v>
      </c>
      <c r="C25">
        <v>598.87</v>
      </c>
      <c r="D25">
        <v>258.09199999999998</v>
      </c>
      <c r="E25">
        <f>C25+B25</f>
        <v>4615.8109999999997</v>
      </c>
      <c r="F25">
        <f>B25/E25</f>
        <v>0.87025681944083066</v>
      </c>
      <c r="G25">
        <f>1-F25</f>
        <v>0.12974318055916934</v>
      </c>
      <c r="I25" s="1"/>
      <c r="J25" t="s">
        <v>7</v>
      </c>
    </row>
    <row r="28" spans="1:10" x14ac:dyDescent="0.2">
      <c r="A28" t="s">
        <v>11</v>
      </c>
      <c r="B28" t="s">
        <v>0</v>
      </c>
      <c r="C28" t="s">
        <v>8</v>
      </c>
      <c r="D28" t="s">
        <v>9</v>
      </c>
      <c r="E28" t="s">
        <v>1</v>
      </c>
      <c r="F28" t="s">
        <v>2</v>
      </c>
      <c r="G28" t="s">
        <v>3</v>
      </c>
      <c r="H28" t="s">
        <v>4</v>
      </c>
      <c r="I28" t="s">
        <v>5</v>
      </c>
    </row>
    <row r="29" spans="1:10" x14ac:dyDescent="0.2">
      <c r="A29">
        <v>1</v>
      </c>
      <c r="B29">
        <v>536.74900000000002</v>
      </c>
      <c r="C29">
        <v>0</v>
      </c>
      <c r="D29">
        <v>0</v>
      </c>
      <c r="E29">
        <f>C29+B29</f>
        <v>536.74900000000002</v>
      </c>
      <c r="F29">
        <f>B29/E29</f>
        <v>1</v>
      </c>
      <c r="G29">
        <f>1-F29</f>
        <v>0</v>
      </c>
      <c r="H29">
        <f>G29-G30</f>
        <v>0</v>
      </c>
      <c r="I29" s="1">
        <f>H29/F30</f>
        <v>0</v>
      </c>
      <c r="J29" t="s">
        <v>6</v>
      </c>
    </row>
    <row r="30" spans="1:10" x14ac:dyDescent="0.2">
      <c r="A30">
        <v>2</v>
      </c>
      <c r="B30">
        <v>546.45600000000002</v>
      </c>
      <c r="C30">
        <v>0</v>
      </c>
      <c r="D30">
        <v>0</v>
      </c>
      <c r="E30">
        <f>C30+B30</f>
        <v>546.45600000000002</v>
      </c>
      <c r="F30">
        <f>B30/E30</f>
        <v>1</v>
      </c>
      <c r="G30">
        <f>1-F30</f>
        <v>0</v>
      </c>
      <c r="I30" s="1"/>
      <c r="J30" t="s">
        <v>7</v>
      </c>
    </row>
    <row r="31" spans="1:10" x14ac:dyDescent="0.2">
      <c r="A31">
        <v>3</v>
      </c>
      <c r="B31">
        <v>2760.8910000000001</v>
      </c>
      <c r="C31">
        <v>514.16300000000001</v>
      </c>
      <c r="D31">
        <v>0</v>
      </c>
      <c r="E31">
        <f t="shared" ref="E31:E52" si="17">C31+B31</f>
        <v>3275.0540000000001</v>
      </c>
      <c r="F31">
        <f t="shared" ref="F31:F52" si="18">B31/E31</f>
        <v>0.84300625272132923</v>
      </c>
      <c r="G31">
        <f t="shared" ref="G31:G52" si="19">1-F31</f>
        <v>0.15699374727867077</v>
      </c>
      <c r="H31">
        <f t="shared" ref="H31" si="20">G31-G32</f>
        <v>0.15699374727867077</v>
      </c>
      <c r="I31" s="1">
        <f t="shared" ref="I31" si="21">H31/F32</f>
        <v>0.15699374727867077</v>
      </c>
      <c r="J31" t="s">
        <v>6</v>
      </c>
    </row>
    <row r="32" spans="1:10" x14ac:dyDescent="0.2">
      <c r="A32">
        <v>4</v>
      </c>
      <c r="B32">
        <v>3327.0120000000002</v>
      </c>
      <c r="C32">
        <v>0</v>
      </c>
      <c r="D32">
        <v>0</v>
      </c>
      <c r="E32">
        <f t="shared" si="17"/>
        <v>3327.0120000000002</v>
      </c>
      <c r="F32">
        <f t="shared" si="18"/>
        <v>1</v>
      </c>
      <c r="G32">
        <f t="shared" si="19"/>
        <v>0</v>
      </c>
      <c r="I32" s="1"/>
      <c r="J32" t="s">
        <v>7</v>
      </c>
    </row>
    <row r="33" spans="1:10" x14ac:dyDescent="0.2">
      <c r="A33">
        <v>5</v>
      </c>
      <c r="B33">
        <v>1256.6980000000001</v>
      </c>
      <c r="C33">
        <v>810.577</v>
      </c>
      <c r="D33">
        <v>0</v>
      </c>
      <c r="E33">
        <f t="shared" si="17"/>
        <v>2067.2750000000001</v>
      </c>
      <c r="F33">
        <f t="shared" si="18"/>
        <v>0.60790073889540586</v>
      </c>
      <c r="G33">
        <f t="shared" si="19"/>
        <v>0.39209926110459414</v>
      </c>
      <c r="H33">
        <f t="shared" ref="H33" si="22">G33-G34</f>
        <v>0.3433688864370309</v>
      </c>
      <c r="I33" s="1">
        <f t="shared" ref="I33" si="23">H33/F34</f>
        <v>0.36095853088658753</v>
      </c>
      <c r="J33" t="s">
        <v>6</v>
      </c>
    </row>
    <row r="34" spans="1:10" x14ac:dyDescent="0.2">
      <c r="A34">
        <v>6</v>
      </c>
      <c r="B34">
        <v>1830.6479999999999</v>
      </c>
      <c r="C34">
        <v>93.778000000000006</v>
      </c>
      <c r="D34">
        <v>0</v>
      </c>
      <c r="E34">
        <f t="shared" si="17"/>
        <v>1924.4259999999999</v>
      </c>
      <c r="F34">
        <f t="shared" si="18"/>
        <v>0.95126962533243675</v>
      </c>
      <c r="G34">
        <f t="shared" si="19"/>
        <v>4.8730374667563248E-2</v>
      </c>
      <c r="I34" s="1"/>
      <c r="J34" t="s">
        <v>7</v>
      </c>
    </row>
    <row r="35" spans="1:10" x14ac:dyDescent="0.2">
      <c r="A35">
        <v>7</v>
      </c>
      <c r="B35">
        <v>2076.355</v>
      </c>
      <c r="C35">
        <v>357.21300000000002</v>
      </c>
      <c r="D35">
        <v>0</v>
      </c>
      <c r="E35">
        <f t="shared" si="17"/>
        <v>2433.5680000000002</v>
      </c>
      <c r="F35">
        <f t="shared" si="18"/>
        <v>0.85321429275861604</v>
      </c>
      <c r="G35">
        <f t="shared" si="19"/>
        <v>0.14678570724138396</v>
      </c>
      <c r="H35">
        <f t="shared" ref="H35" si="24">G35-G36</f>
        <v>0.14678570724138396</v>
      </c>
      <c r="I35" s="1">
        <f t="shared" ref="I35" si="25">H35/F36</f>
        <v>0.14678570724138396</v>
      </c>
      <c r="J35" t="s">
        <v>6</v>
      </c>
    </row>
    <row r="36" spans="1:10" x14ac:dyDescent="0.2">
      <c r="A36">
        <v>8</v>
      </c>
      <c r="B36">
        <v>2434.0619999999999</v>
      </c>
      <c r="C36">
        <v>0</v>
      </c>
      <c r="D36">
        <v>0</v>
      </c>
      <c r="E36">
        <f t="shared" si="17"/>
        <v>2434.0619999999999</v>
      </c>
      <c r="F36">
        <f t="shared" si="18"/>
        <v>1</v>
      </c>
      <c r="G36">
        <f t="shared" si="19"/>
        <v>0</v>
      </c>
      <c r="I36" s="1"/>
      <c r="J36" t="s">
        <v>7</v>
      </c>
    </row>
    <row r="37" spans="1:10" x14ac:dyDescent="0.2">
      <c r="A37">
        <v>9</v>
      </c>
      <c r="B37">
        <v>1567.2339999999999</v>
      </c>
      <c r="C37">
        <v>330.09199999999998</v>
      </c>
      <c r="D37">
        <v>0</v>
      </c>
      <c r="E37">
        <f t="shared" si="17"/>
        <v>1897.326</v>
      </c>
      <c r="F37">
        <f t="shared" si="18"/>
        <v>0.82602251800692128</v>
      </c>
      <c r="G37">
        <f t="shared" si="19"/>
        <v>0.17397748199307872</v>
      </c>
      <c r="H37">
        <f t="shared" ref="H37" si="26">G37-G38</f>
        <v>0.17397748199307872</v>
      </c>
      <c r="I37" s="1">
        <f t="shared" ref="I37" si="27">H37/F38</f>
        <v>0.17397748199307872</v>
      </c>
      <c r="J37" t="s">
        <v>6</v>
      </c>
    </row>
    <row r="38" spans="1:10" x14ac:dyDescent="0.2">
      <c r="A38">
        <v>10</v>
      </c>
      <c r="B38">
        <v>1930.6479999999999</v>
      </c>
      <c r="C38">
        <v>0</v>
      </c>
      <c r="D38">
        <v>0</v>
      </c>
      <c r="E38">
        <f t="shared" si="17"/>
        <v>1930.6479999999999</v>
      </c>
      <c r="F38">
        <f t="shared" si="18"/>
        <v>1</v>
      </c>
      <c r="G38">
        <f t="shared" si="19"/>
        <v>0</v>
      </c>
      <c r="I38" s="1"/>
      <c r="J38" t="s">
        <v>7</v>
      </c>
    </row>
    <row r="39" spans="1:10" x14ac:dyDescent="0.2">
      <c r="A39">
        <v>11</v>
      </c>
      <c r="B39">
        <v>159.55600000000001</v>
      </c>
      <c r="C39">
        <v>215.26300000000001</v>
      </c>
      <c r="D39">
        <v>0</v>
      </c>
      <c r="E39">
        <f t="shared" si="17"/>
        <v>374.81900000000002</v>
      </c>
      <c r="F39">
        <f t="shared" si="18"/>
        <v>0.42568813213844547</v>
      </c>
      <c r="G39">
        <f t="shared" si="19"/>
        <v>0.57431186786155453</v>
      </c>
      <c r="H39">
        <f t="shared" ref="H39" si="28">G39-G40</f>
        <v>0.57431186786155453</v>
      </c>
      <c r="I39" s="1">
        <f t="shared" ref="I39" si="29">H39/F40</f>
        <v>0.57431186786155453</v>
      </c>
      <c r="J39" t="s">
        <v>6</v>
      </c>
    </row>
    <row r="40" spans="1:10" x14ac:dyDescent="0.2">
      <c r="A40">
        <v>12</v>
      </c>
      <c r="B40">
        <v>394.79899999999998</v>
      </c>
      <c r="C40">
        <v>0</v>
      </c>
      <c r="D40">
        <v>0</v>
      </c>
      <c r="E40">
        <f t="shared" si="17"/>
        <v>394.79899999999998</v>
      </c>
      <c r="F40">
        <f t="shared" si="18"/>
        <v>1</v>
      </c>
      <c r="G40">
        <f t="shared" si="19"/>
        <v>0</v>
      </c>
      <c r="I40" s="1"/>
      <c r="J40" t="s">
        <v>7</v>
      </c>
    </row>
    <row r="41" spans="1:10" x14ac:dyDescent="0.2">
      <c r="A41">
        <v>13</v>
      </c>
      <c r="B41">
        <v>4519.4470000000001</v>
      </c>
      <c r="C41">
        <v>177.435</v>
      </c>
      <c r="D41">
        <v>0</v>
      </c>
      <c r="E41">
        <f t="shared" si="17"/>
        <v>4696.8820000000005</v>
      </c>
      <c r="F41">
        <f t="shared" si="18"/>
        <v>0.96222281079235106</v>
      </c>
      <c r="G41">
        <f t="shared" si="19"/>
        <v>3.7777189207648942E-2</v>
      </c>
      <c r="H41">
        <f t="shared" ref="H41" si="30">G41-G42</f>
        <v>3.7777189207648942E-2</v>
      </c>
      <c r="I41" s="1">
        <f t="shared" ref="I41" si="31">H41/F42</f>
        <v>3.7777189207648942E-2</v>
      </c>
      <c r="J41" t="s">
        <v>6</v>
      </c>
    </row>
    <row r="42" spans="1:10" x14ac:dyDescent="0.2">
      <c r="A42">
        <v>14</v>
      </c>
      <c r="B42">
        <v>4613.6189999999997</v>
      </c>
      <c r="C42">
        <v>0</v>
      </c>
      <c r="D42">
        <v>0</v>
      </c>
      <c r="E42">
        <f t="shared" si="17"/>
        <v>4613.6189999999997</v>
      </c>
      <c r="F42">
        <f t="shared" si="18"/>
        <v>1</v>
      </c>
      <c r="G42">
        <f t="shared" si="19"/>
        <v>0</v>
      </c>
      <c r="I42" s="1"/>
      <c r="J42" t="s">
        <v>7</v>
      </c>
    </row>
    <row r="43" spans="1:10" x14ac:dyDescent="0.2">
      <c r="A43">
        <v>15</v>
      </c>
      <c r="B43">
        <v>1570.82</v>
      </c>
      <c r="C43">
        <v>1430.0619999999999</v>
      </c>
      <c r="D43">
        <v>0</v>
      </c>
      <c r="E43">
        <f t="shared" si="17"/>
        <v>3000.8819999999996</v>
      </c>
      <c r="F43">
        <f t="shared" si="18"/>
        <v>0.52345277155183045</v>
      </c>
      <c r="G43">
        <f t="shared" si="19"/>
        <v>0.47654722844816955</v>
      </c>
      <c r="H43">
        <f t="shared" ref="H43" si="32">G43-G44</f>
        <v>0.43724116462066864</v>
      </c>
      <c r="I43" s="1">
        <f t="shared" ref="I43" si="33">H43/F44</f>
        <v>0.45513055527620094</v>
      </c>
      <c r="J43" t="s">
        <v>6</v>
      </c>
    </row>
    <row r="44" spans="1:10" x14ac:dyDescent="0.2">
      <c r="A44">
        <v>16</v>
      </c>
      <c r="B44">
        <v>3084.3049999999998</v>
      </c>
      <c r="C44">
        <v>126.19199999999999</v>
      </c>
      <c r="D44">
        <v>0</v>
      </c>
      <c r="E44">
        <f t="shared" si="17"/>
        <v>3210.4969999999998</v>
      </c>
      <c r="F44">
        <f t="shared" si="18"/>
        <v>0.9606939361724991</v>
      </c>
      <c r="G44">
        <f t="shared" si="19"/>
        <v>3.9306063827500903E-2</v>
      </c>
      <c r="I44" s="1"/>
      <c r="J44" t="s">
        <v>7</v>
      </c>
    </row>
    <row r="45" spans="1:10" x14ac:dyDescent="0.2">
      <c r="A45">
        <v>17</v>
      </c>
      <c r="B45">
        <v>1333.82</v>
      </c>
      <c r="C45">
        <v>11877.823</v>
      </c>
      <c r="D45">
        <v>0</v>
      </c>
      <c r="E45">
        <f t="shared" si="17"/>
        <v>13211.643</v>
      </c>
      <c r="F45">
        <f t="shared" si="18"/>
        <v>0.10095792022233721</v>
      </c>
      <c r="G45">
        <f t="shared" si="19"/>
        <v>0.89904207977766282</v>
      </c>
      <c r="H45">
        <f t="shared" ref="H45" si="34">G45-G46</f>
        <v>0.89904207977766282</v>
      </c>
      <c r="I45" s="1">
        <f t="shared" ref="I45" si="35">H45/F46</f>
        <v>0.89904207977766282</v>
      </c>
      <c r="J45" t="s">
        <v>6</v>
      </c>
    </row>
    <row r="46" spans="1:10" x14ac:dyDescent="0.2">
      <c r="A46">
        <v>18</v>
      </c>
      <c r="B46">
        <v>9099.9330000000009</v>
      </c>
      <c r="C46">
        <v>0</v>
      </c>
      <c r="D46">
        <v>0</v>
      </c>
      <c r="E46">
        <f t="shared" si="17"/>
        <v>9099.9330000000009</v>
      </c>
      <c r="F46">
        <f t="shared" si="18"/>
        <v>1</v>
      </c>
      <c r="G46">
        <f t="shared" si="19"/>
        <v>0</v>
      </c>
      <c r="I46" s="1"/>
      <c r="J46" t="s">
        <v>7</v>
      </c>
    </row>
    <row r="47" spans="1:10" x14ac:dyDescent="0.2">
      <c r="A47">
        <v>19</v>
      </c>
      <c r="B47">
        <v>3390.4259999999999</v>
      </c>
      <c r="C47">
        <v>174.435</v>
      </c>
      <c r="D47">
        <v>0</v>
      </c>
      <c r="E47">
        <f t="shared" si="17"/>
        <v>3564.8609999999999</v>
      </c>
      <c r="F47">
        <f t="shared" si="18"/>
        <v>0.9510682183681215</v>
      </c>
      <c r="G47">
        <f t="shared" si="19"/>
        <v>4.8931781631878501E-2</v>
      </c>
      <c r="H47">
        <f t="shared" ref="H47" si="36">G47-G48</f>
        <v>4.8931781631878501E-2</v>
      </c>
      <c r="I47" s="1">
        <f t="shared" ref="I47" si="37">H47/F48</f>
        <v>4.8931781631878501E-2</v>
      </c>
      <c r="J47" t="s">
        <v>6</v>
      </c>
    </row>
    <row r="48" spans="1:10" x14ac:dyDescent="0.2">
      <c r="A48">
        <v>20</v>
      </c>
      <c r="B48">
        <v>3341.7190000000001</v>
      </c>
      <c r="C48">
        <v>0</v>
      </c>
      <c r="D48">
        <v>0</v>
      </c>
      <c r="E48">
        <f t="shared" si="17"/>
        <v>3341.7190000000001</v>
      </c>
      <c r="F48">
        <f t="shared" si="18"/>
        <v>1</v>
      </c>
      <c r="G48">
        <f t="shared" si="19"/>
        <v>0</v>
      </c>
      <c r="I48" s="1"/>
      <c r="J48" t="s">
        <v>7</v>
      </c>
    </row>
    <row r="49" spans="1:10" x14ac:dyDescent="0.2">
      <c r="A49">
        <v>21</v>
      </c>
      <c r="B49">
        <v>3965.2049999999999</v>
      </c>
      <c r="C49">
        <v>1278.82</v>
      </c>
      <c r="E49">
        <f t="shared" si="17"/>
        <v>5244.0249999999996</v>
      </c>
      <c r="F49">
        <f t="shared" si="18"/>
        <v>0.75613769957237054</v>
      </c>
      <c r="G49">
        <f t="shared" si="19"/>
        <v>0.24386230042762946</v>
      </c>
      <c r="H49">
        <f t="shared" ref="H49" si="38">G49-G50</f>
        <v>0.24386230042762946</v>
      </c>
      <c r="I49" s="1">
        <f t="shared" ref="I49" si="39">H49/F50</f>
        <v>0.24386230042762946</v>
      </c>
      <c r="J49" t="s">
        <v>6</v>
      </c>
    </row>
    <row r="50" spans="1:10" x14ac:dyDescent="0.2">
      <c r="A50">
        <v>22</v>
      </c>
      <c r="B50">
        <v>5133.6899999999996</v>
      </c>
      <c r="C50">
        <v>0</v>
      </c>
      <c r="E50">
        <f t="shared" si="17"/>
        <v>5133.6899999999996</v>
      </c>
      <c r="F50">
        <f t="shared" si="18"/>
        <v>1</v>
      </c>
      <c r="G50">
        <f t="shared" si="19"/>
        <v>0</v>
      </c>
      <c r="I50" s="1"/>
      <c r="J50" t="s">
        <v>7</v>
      </c>
    </row>
    <row r="51" spans="1:10" x14ac:dyDescent="0.2">
      <c r="A51">
        <v>23</v>
      </c>
      <c r="B51">
        <v>7119.8109999999997</v>
      </c>
      <c r="C51">
        <v>1030.2550000000001</v>
      </c>
      <c r="D51">
        <v>0</v>
      </c>
      <c r="E51">
        <f t="shared" si="17"/>
        <v>8150.0659999999998</v>
      </c>
      <c r="F51">
        <f t="shared" si="18"/>
        <v>0.87358936725174985</v>
      </c>
      <c r="G51">
        <f t="shared" si="19"/>
        <v>0.12641063274825015</v>
      </c>
      <c r="H51">
        <f t="shared" ref="H51" si="40">G51-G52</f>
        <v>8.7025885711949469E-2</v>
      </c>
      <c r="I51" s="1">
        <f t="shared" ref="I51" si="41">H51/F52</f>
        <v>9.0593903691885358E-2</v>
      </c>
      <c r="J51" t="s">
        <v>6</v>
      </c>
    </row>
    <row r="52" spans="1:10" x14ac:dyDescent="0.2">
      <c r="A52">
        <v>24</v>
      </c>
      <c r="B52">
        <v>6528.8109999999997</v>
      </c>
      <c r="C52">
        <v>267.678</v>
      </c>
      <c r="D52">
        <v>0</v>
      </c>
      <c r="E52">
        <f t="shared" si="17"/>
        <v>6796.4889999999996</v>
      </c>
      <c r="F52">
        <f t="shared" si="18"/>
        <v>0.96061525296369932</v>
      </c>
      <c r="G52">
        <f t="shared" si="19"/>
        <v>3.9384747036300682E-2</v>
      </c>
      <c r="I52" s="1"/>
      <c r="J52" t="s">
        <v>7</v>
      </c>
    </row>
    <row r="54" spans="1:10" x14ac:dyDescent="0.2">
      <c r="A54" t="s">
        <v>12</v>
      </c>
      <c r="B54" t="s">
        <v>0</v>
      </c>
      <c r="C54" t="s">
        <v>8</v>
      </c>
      <c r="D54" t="s">
        <v>9</v>
      </c>
      <c r="E54" t="s">
        <v>1</v>
      </c>
      <c r="F54" t="s">
        <v>2</v>
      </c>
      <c r="G54" t="s">
        <v>3</v>
      </c>
      <c r="H54" t="s">
        <v>4</v>
      </c>
      <c r="I54" t="s">
        <v>5</v>
      </c>
    </row>
    <row r="55" spans="1:10" x14ac:dyDescent="0.2">
      <c r="A55">
        <v>1</v>
      </c>
      <c r="B55">
        <v>5660.6189999999997</v>
      </c>
      <c r="C55">
        <v>252.21299999999999</v>
      </c>
      <c r="D55">
        <v>0</v>
      </c>
      <c r="E55">
        <f>C55+B55</f>
        <v>5912.8319999999994</v>
      </c>
      <c r="F55">
        <f>B55/E55</f>
        <v>0.95734480533186128</v>
      </c>
      <c r="G55">
        <f>1-F55</f>
        <v>4.2655194668138718E-2</v>
      </c>
      <c r="H55">
        <f>G55-G56</f>
        <v>4.2655194668138718E-2</v>
      </c>
      <c r="I55" s="1">
        <f>H55/F56</f>
        <v>4.2655194668138718E-2</v>
      </c>
      <c r="J55" t="s">
        <v>6</v>
      </c>
    </row>
    <row r="56" spans="1:10" x14ac:dyDescent="0.2">
      <c r="A56">
        <v>2</v>
      </c>
      <c r="B56">
        <v>6570.326</v>
      </c>
      <c r="C56">
        <v>0</v>
      </c>
      <c r="D56">
        <v>0</v>
      </c>
      <c r="E56">
        <f>C56+B56</f>
        <v>6570.326</v>
      </c>
      <c r="F56">
        <f>B56/E56</f>
        <v>1</v>
      </c>
      <c r="G56">
        <f>1-F56</f>
        <v>0</v>
      </c>
      <c r="I56" s="1"/>
      <c r="J56" t="s">
        <v>7</v>
      </c>
    </row>
    <row r="57" spans="1:10" x14ac:dyDescent="0.2">
      <c r="A57">
        <v>3</v>
      </c>
      <c r="B57">
        <v>5641.3050000000003</v>
      </c>
      <c r="C57">
        <v>1170.6980000000001</v>
      </c>
      <c r="D57">
        <v>0</v>
      </c>
      <c r="E57">
        <f t="shared" ref="E57:E78" si="42">C57+B57</f>
        <v>6812.0030000000006</v>
      </c>
      <c r="F57">
        <f t="shared" ref="F57:F78" si="43">B57/E57</f>
        <v>0.82814188425929935</v>
      </c>
      <c r="G57">
        <f t="shared" ref="G57:G78" si="44">1-F57</f>
        <v>0.17185811574070065</v>
      </c>
      <c r="H57">
        <f t="shared" ref="H57" si="45">G57-G58</f>
        <v>0.17185811574070065</v>
      </c>
      <c r="I57" s="1">
        <f t="shared" ref="I57" si="46">H57/F58</f>
        <v>0.17185811574070065</v>
      </c>
      <c r="J57" t="s">
        <v>6</v>
      </c>
    </row>
    <row r="58" spans="1:10" x14ac:dyDescent="0.2">
      <c r="A58">
        <v>4</v>
      </c>
      <c r="B58">
        <v>6647.598</v>
      </c>
      <c r="C58">
        <v>0</v>
      </c>
      <c r="D58">
        <v>0</v>
      </c>
      <c r="E58">
        <f t="shared" si="42"/>
        <v>6647.598</v>
      </c>
      <c r="F58">
        <f t="shared" si="43"/>
        <v>1</v>
      </c>
      <c r="G58">
        <f t="shared" si="44"/>
        <v>0</v>
      </c>
      <c r="I58" s="1"/>
      <c r="J58" t="s">
        <v>7</v>
      </c>
    </row>
    <row r="59" spans="1:10" x14ac:dyDescent="0.2">
      <c r="A59">
        <v>5</v>
      </c>
      <c r="B59">
        <v>4240.7190000000001</v>
      </c>
      <c r="C59">
        <v>111.021</v>
      </c>
      <c r="D59">
        <v>0</v>
      </c>
      <c r="E59">
        <f t="shared" si="42"/>
        <v>4351.74</v>
      </c>
      <c r="F59">
        <f t="shared" si="43"/>
        <v>0.97448813578017079</v>
      </c>
      <c r="G59">
        <f t="shared" si="44"/>
        <v>2.5511864219829206E-2</v>
      </c>
      <c r="H59">
        <f t="shared" ref="H59" si="47">G59-G60</f>
        <v>2.5511864219829206E-2</v>
      </c>
      <c r="I59" s="1">
        <f t="shared" ref="I59" si="48">H59/F60</f>
        <v>2.5511864219829206E-2</v>
      </c>
      <c r="J59" t="s">
        <v>6</v>
      </c>
    </row>
    <row r="60" spans="1:10" x14ac:dyDescent="0.2">
      <c r="A60">
        <v>6</v>
      </c>
      <c r="B60">
        <v>4725.598</v>
      </c>
      <c r="C60">
        <v>0</v>
      </c>
      <c r="D60">
        <v>0</v>
      </c>
      <c r="E60">
        <f t="shared" si="42"/>
        <v>4725.598</v>
      </c>
      <c r="F60">
        <f t="shared" si="43"/>
        <v>1</v>
      </c>
      <c r="G60">
        <f t="shared" si="44"/>
        <v>0</v>
      </c>
      <c r="I60" s="1"/>
      <c r="J60" t="s">
        <v>7</v>
      </c>
    </row>
    <row r="61" spans="1:10" x14ac:dyDescent="0.2">
      <c r="A61">
        <v>7</v>
      </c>
      <c r="B61">
        <v>2942.0619999999999</v>
      </c>
      <c r="C61">
        <v>474.92</v>
      </c>
      <c r="D61">
        <v>0</v>
      </c>
      <c r="E61">
        <f t="shared" si="42"/>
        <v>3416.982</v>
      </c>
      <c r="F61">
        <f t="shared" si="43"/>
        <v>0.86101185197931973</v>
      </c>
      <c r="G61">
        <f t="shared" si="44"/>
        <v>0.13898814802068027</v>
      </c>
      <c r="H61">
        <f t="shared" ref="H61" si="49">G61-G62</f>
        <v>0.13898814802068027</v>
      </c>
      <c r="I61" s="1">
        <f t="shared" ref="I61" si="50">H61/F62</f>
        <v>0.13898814802068027</v>
      </c>
      <c r="J61" t="s">
        <v>6</v>
      </c>
    </row>
    <row r="62" spans="1:10" x14ac:dyDescent="0.2">
      <c r="A62">
        <v>8</v>
      </c>
      <c r="B62">
        <v>3899.4769999999999</v>
      </c>
      <c r="C62">
        <v>0</v>
      </c>
      <c r="D62">
        <v>0</v>
      </c>
      <c r="E62">
        <f t="shared" si="42"/>
        <v>3899.4769999999999</v>
      </c>
      <c r="F62">
        <f t="shared" si="43"/>
        <v>1</v>
      </c>
      <c r="G62">
        <f t="shared" si="44"/>
        <v>0</v>
      </c>
      <c r="I62" s="1"/>
      <c r="J62" t="s">
        <v>7</v>
      </c>
    </row>
    <row r="63" spans="1:10" x14ac:dyDescent="0.2">
      <c r="A63">
        <v>9</v>
      </c>
      <c r="B63">
        <v>2512.0619999999999</v>
      </c>
      <c r="C63">
        <v>842.33500000000004</v>
      </c>
      <c r="D63">
        <v>0</v>
      </c>
      <c r="E63">
        <f t="shared" si="42"/>
        <v>3354.3969999999999</v>
      </c>
      <c r="F63">
        <f t="shared" si="43"/>
        <v>0.74888631250266435</v>
      </c>
      <c r="G63">
        <f t="shared" si="44"/>
        <v>0.25111368749733565</v>
      </c>
      <c r="H63">
        <f t="shared" ref="H63" si="51">G63-G64</f>
        <v>0.25111368749733565</v>
      </c>
      <c r="I63" s="1">
        <f t="shared" ref="I63" si="52">H63/F64</f>
        <v>0.25111368749733565</v>
      </c>
      <c r="J63" t="s">
        <v>6</v>
      </c>
    </row>
    <row r="64" spans="1:10" x14ac:dyDescent="0.2">
      <c r="A64">
        <v>10</v>
      </c>
      <c r="B64">
        <v>4138.5479999999998</v>
      </c>
      <c r="C64">
        <v>0</v>
      </c>
      <c r="D64">
        <v>0</v>
      </c>
      <c r="E64">
        <f t="shared" si="42"/>
        <v>4138.5479999999998</v>
      </c>
      <c r="F64">
        <f t="shared" si="43"/>
        <v>1</v>
      </c>
      <c r="G64">
        <f t="shared" si="44"/>
        <v>0</v>
      </c>
      <c r="I64" s="1"/>
      <c r="J64" t="s">
        <v>7</v>
      </c>
    </row>
    <row r="65" spans="1:10" x14ac:dyDescent="0.2">
      <c r="A65">
        <v>11</v>
      </c>
      <c r="B65">
        <v>5807.8909999999996</v>
      </c>
      <c r="C65">
        <v>2146.2840000000001</v>
      </c>
      <c r="D65">
        <v>0</v>
      </c>
      <c r="E65">
        <f t="shared" si="42"/>
        <v>7954.1749999999993</v>
      </c>
      <c r="F65">
        <f t="shared" si="43"/>
        <v>0.73016887357896954</v>
      </c>
      <c r="G65">
        <f t="shared" si="44"/>
        <v>0.26983112642103046</v>
      </c>
      <c r="H65">
        <f t="shared" ref="H65" si="53">G65-G66</f>
        <v>0.26983112642103046</v>
      </c>
      <c r="I65" s="1">
        <f t="shared" ref="I65" si="54">H65/F66</f>
        <v>0.26983112642103046</v>
      </c>
      <c r="J65" t="s">
        <v>6</v>
      </c>
    </row>
    <row r="66" spans="1:10" x14ac:dyDescent="0.2">
      <c r="A66">
        <v>12</v>
      </c>
      <c r="B66">
        <v>7606.6189999999997</v>
      </c>
      <c r="C66">
        <v>0</v>
      </c>
      <c r="D66">
        <v>0</v>
      </c>
      <c r="E66">
        <f t="shared" si="42"/>
        <v>7606.6189999999997</v>
      </c>
      <c r="F66">
        <f t="shared" si="43"/>
        <v>1</v>
      </c>
      <c r="G66">
        <f t="shared" si="44"/>
        <v>0</v>
      </c>
      <c r="I66" s="1"/>
      <c r="J66" t="s">
        <v>7</v>
      </c>
    </row>
    <row r="67" spans="1:10" x14ac:dyDescent="0.2">
      <c r="A67">
        <v>13</v>
      </c>
      <c r="B67">
        <v>3083.8409999999999</v>
      </c>
      <c r="C67">
        <v>1707.77</v>
      </c>
      <c r="D67">
        <v>0</v>
      </c>
      <c r="E67">
        <f t="shared" si="42"/>
        <v>4791.6109999999999</v>
      </c>
      <c r="F67">
        <f t="shared" si="43"/>
        <v>0.64359168555210344</v>
      </c>
      <c r="G67">
        <f t="shared" si="44"/>
        <v>0.35640831444789656</v>
      </c>
      <c r="H67">
        <f t="shared" ref="H67" si="55">G67-G68</f>
        <v>0.35640831444789656</v>
      </c>
      <c r="I67" s="1">
        <f t="shared" ref="I67" si="56">H67/F68</f>
        <v>0.35640831444789656</v>
      </c>
      <c r="J67" t="s">
        <v>6</v>
      </c>
    </row>
    <row r="68" spans="1:10" x14ac:dyDescent="0.2">
      <c r="A68">
        <v>14</v>
      </c>
      <c r="B68">
        <v>4973.4260000000004</v>
      </c>
      <c r="C68">
        <v>0</v>
      </c>
      <c r="D68">
        <v>0</v>
      </c>
      <c r="E68">
        <f t="shared" si="42"/>
        <v>4973.4260000000004</v>
      </c>
      <c r="F68">
        <f t="shared" si="43"/>
        <v>1</v>
      </c>
      <c r="G68">
        <f t="shared" si="44"/>
        <v>0</v>
      </c>
      <c r="I68" s="1"/>
      <c r="J68" t="s">
        <v>7</v>
      </c>
    </row>
    <row r="69" spans="1:10" x14ac:dyDescent="0.2">
      <c r="A69">
        <v>15</v>
      </c>
      <c r="B69">
        <v>3913.9409999999998</v>
      </c>
      <c r="C69">
        <v>84.191999999999993</v>
      </c>
      <c r="D69">
        <v>0</v>
      </c>
      <c r="E69">
        <f t="shared" si="42"/>
        <v>3998.1329999999998</v>
      </c>
      <c r="F69">
        <f t="shared" si="43"/>
        <v>0.97894217125843486</v>
      </c>
      <c r="G69">
        <f t="shared" si="44"/>
        <v>2.1057828741565143E-2</v>
      </c>
      <c r="H69">
        <f t="shared" ref="H69" si="57">G69-G70</f>
        <v>2.1057828741565143E-2</v>
      </c>
      <c r="I69" s="1">
        <f t="shared" ref="I69" si="58">H69/F70</f>
        <v>2.1057828741565143E-2</v>
      </c>
      <c r="J69" t="s">
        <v>6</v>
      </c>
    </row>
    <row r="70" spans="1:10" x14ac:dyDescent="0.2">
      <c r="A70">
        <v>16</v>
      </c>
      <c r="B70">
        <v>4564.7700000000004</v>
      </c>
      <c r="C70">
        <v>0</v>
      </c>
      <c r="D70">
        <v>0</v>
      </c>
      <c r="E70">
        <f t="shared" si="42"/>
        <v>4564.7700000000004</v>
      </c>
      <c r="F70">
        <f t="shared" si="43"/>
        <v>1</v>
      </c>
      <c r="G70">
        <f t="shared" si="44"/>
        <v>0</v>
      </c>
      <c r="I70" s="1"/>
      <c r="J70" t="s">
        <v>7</v>
      </c>
    </row>
    <row r="71" spans="1:10" x14ac:dyDescent="0.2">
      <c r="A71">
        <v>17</v>
      </c>
      <c r="B71">
        <v>2560.527</v>
      </c>
      <c r="C71">
        <v>61.363999999999997</v>
      </c>
      <c r="D71">
        <v>0</v>
      </c>
      <c r="E71">
        <f t="shared" si="42"/>
        <v>2621.8910000000001</v>
      </c>
      <c r="F71">
        <f t="shared" si="43"/>
        <v>0.97659551827288016</v>
      </c>
      <c r="G71">
        <f t="shared" si="44"/>
        <v>2.3404481727119841E-2</v>
      </c>
      <c r="H71">
        <f t="shared" ref="H71" si="59">G71-G72</f>
        <v>2.3404481727119841E-2</v>
      </c>
      <c r="I71" s="1">
        <f t="shared" ref="I71" si="60">H71/F72</f>
        <v>2.3404481727119841E-2</v>
      </c>
      <c r="J71" t="s">
        <v>6</v>
      </c>
    </row>
    <row r="72" spans="1:10" x14ac:dyDescent="0.2">
      <c r="A72">
        <v>18</v>
      </c>
      <c r="B72">
        <v>2786.9409999999998</v>
      </c>
      <c r="C72">
        <v>0</v>
      </c>
      <c r="D72">
        <v>0</v>
      </c>
      <c r="E72">
        <f t="shared" si="42"/>
        <v>2786.9409999999998</v>
      </c>
      <c r="F72">
        <f t="shared" si="43"/>
        <v>1</v>
      </c>
      <c r="G72">
        <f t="shared" si="44"/>
        <v>0</v>
      </c>
      <c r="I72" s="1"/>
      <c r="J72" t="s">
        <v>7</v>
      </c>
    </row>
    <row r="73" spans="1:10" x14ac:dyDescent="0.2">
      <c r="A73">
        <v>19</v>
      </c>
      <c r="B73">
        <v>4966.3469999999998</v>
      </c>
      <c r="C73">
        <v>792.92</v>
      </c>
      <c r="D73">
        <v>0</v>
      </c>
      <c r="E73">
        <f t="shared" si="42"/>
        <v>5759.2669999999998</v>
      </c>
      <c r="F73">
        <f t="shared" si="43"/>
        <v>0.86232275739256403</v>
      </c>
      <c r="G73">
        <f t="shared" si="44"/>
        <v>0.13767724260743597</v>
      </c>
      <c r="H73">
        <f t="shared" ref="H73" si="61">G73-G74</f>
        <v>0.13767724260743597</v>
      </c>
      <c r="I73" s="1">
        <f t="shared" ref="I73" si="62">H73/F74</f>
        <v>0.13767724260743597</v>
      </c>
      <c r="J73" t="s">
        <v>6</v>
      </c>
    </row>
    <row r="74" spans="1:10" x14ac:dyDescent="0.2">
      <c r="A74">
        <v>20</v>
      </c>
      <c r="B74">
        <v>6037.4679999999998</v>
      </c>
      <c r="C74">
        <v>0</v>
      </c>
      <c r="D74">
        <v>0</v>
      </c>
      <c r="E74">
        <f t="shared" si="42"/>
        <v>6037.4679999999998</v>
      </c>
      <c r="F74">
        <f t="shared" si="43"/>
        <v>1</v>
      </c>
      <c r="G74">
        <f t="shared" si="44"/>
        <v>0</v>
      </c>
      <c r="I74" s="1"/>
      <c r="J74" t="s">
        <v>7</v>
      </c>
    </row>
    <row r="75" spans="1:10" x14ac:dyDescent="0.2">
      <c r="A75">
        <v>21</v>
      </c>
      <c r="B75">
        <v>664.33500000000004</v>
      </c>
      <c r="C75">
        <v>0</v>
      </c>
      <c r="D75">
        <v>0</v>
      </c>
      <c r="E75">
        <f t="shared" si="42"/>
        <v>664.33500000000004</v>
      </c>
      <c r="F75">
        <f t="shared" si="43"/>
        <v>1</v>
      </c>
      <c r="G75">
        <f t="shared" si="44"/>
        <v>0</v>
      </c>
      <c r="H75">
        <f t="shared" ref="H75" si="63">G75-G76</f>
        <v>0</v>
      </c>
      <c r="I75" s="1">
        <f t="shared" ref="I75" si="64">H75/F76</f>
        <v>0</v>
      </c>
      <c r="J75" t="s">
        <v>6</v>
      </c>
    </row>
    <row r="76" spans="1:10" x14ac:dyDescent="0.2">
      <c r="A76">
        <v>22</v>
      </c>
      <c r="B76">
        <v>784.33500000000004</v>
      </c>
      <c r="C76">
        <v>0</v>
      </c>
      <c r="D76">
        <v>0</v>
      </c>
      <c r="E76">
        <f t="shared" si="42"/>
        <v>784.33500000000004</v>
      </c>
      <c r="F76">
        <f t="shared" si="43"/>
        <v>1</v>
      </c>
      <c r="G76">
        <f t="shared" si="44"/>
        <v>0</v>
      </c>
      <c r="I76" s="1"/>
      <c r="J76" t="s">
        <v>7</v>
      </c>
    </row>
    <row r="77" spans="1:10" x14ac:dyDescent="0.2">
      <c r="A77">
        <v>23</v>
      </c>
      <c r="B77">
        <v>2189.8200000000002</v>
      </c>
      <c r="C77">
        <v>0</v>
      </c>
      <c r="D77">
        <v>0</v>
      </c>
      <c r="E77">
        <f t="shared" si="42"/>
        <v>2189.8200000000002</v>
      </c>
      <c r="F77">
        <f t="shared" si="43"/>
        <v>1</v>
      </c>
      <c r="G77">
        <f t="shared" si="44"/>
        <v>0</v>
      </c>
      <c r="H77">
        <f t="shared" ref="H77" si="65">G77-G78</f>
        <v>0</v>
      </c>
      <c r="I77" s="1">
        <f t="shared" ref="I77" si="66">H77/F78</f>
        <v>0</v>
      </c>
      <c r="J77" t="s">
        <v>6</v>
      </c>
    </row>
    <row r="78" spans="1:10" x14ac:dyDescent="0.2">
      <c r="A78">
        <v>24</v>
      </c>
      <c r="B78">
        <v>1768.82</v>
      </c>
      <c r="C78">
        <v>0</v>
      </c>
      <c r="D78">
        <v>0</v>
      </c>
      <c r="E78">
        <f t="shared" si="42"/>
        <v>1768.82</v>
      </c>
      <c r="F78">
        <f t="shared" si="43"/>
        <v>1</v>
      </c>
      <c r="G78">
        <f t="shared" si="44"/>
        <v>0</v>
      </c>
      <c r="I78" s="1"/>
      <c r="J78" t="s">
        <v>7</v>
      </c>
    </row>
    <row r="80" spans="1:10" x14ac:dyDescent="0.2">
      <c r="A80" t="s">
        <v>14</v>
      </c>
      <c r="B80" t="s">
        <v>0</v>
      </c>
      <c r="C80" t="s">
        <v>8</v>
      </c>
      <c r="D80" t="s">
        <v>9</v>
      </c>
      <c r="E80" t="s">
        <v>1</v>
      </c>
      <c r="F80" t="s">
        <v>2</v>
      </c>
      <c r="G80" t="s">
        <v>3</v>
      </c>
      <c r="H80" t="s">
        <v>4</v>
      </c>
      <c r="I80" t="s">
        <v>5</v>
      </c>
    </row>
    <row r="81" spans="1:10" x14ac:dyDescent="0.2">
      <c r="A81">
        <v>1</v>
      </c>
      <c r="B81">
        <v>2222.8910000000001</v>
      </c>
      <c r="C81">
        <v>535.16300000000001</v>
      </c>
      <c r="D81">
        <v>0</v>
      </c>
      <c r="E81">
        <f>C81+B81</f>
        <v>2758.0540000000001</v>
      </c>
      <c r="F81">
        <f>B81/E81</f>
        <v>0.80596355256278518</v>
      </c>
      <c r="G81">
        <f>1-F81</f>
        <v>0.19403644743721482</v>
      </c>
      <c r="H81">
        <f>G81-G82</f>
        <v>0.19403644743721482</v>
      </c>
      <c r="I81" s="1">
        <f>H81/F82</f>
        <v>0.19403644743721482</v>
      </c>
      <c r="J81" t="s">
        <v>6</v>
      </c>
    </row>
    <row r="82" spans="1:10" x14ac:dyDescent="0.2">
      <c r="A82">
        <v>2</v>
      </c>
      <c r="B82">
        <v>3194.8910000000001</v>
      </c>
      <c r="C82">
        <v>0</v>
      </c>
      <c r="D82">
        <v>0</v>
      </c>
      <c r="E82">
        <f>C82+B82</f>
        <v>3194.8910000000001</v>
      </c>
      <c r="F82">
        <f>B82/E82</f>
        <v>1</v>
      </c>
      <c r="G82">
        <f>1-F82</f>
        <v>0</v>
      </c>
      <c r="I82" s="1"/>
      <c r="J82" t="s">
        <v>7</v>
      </c>
    </row>
    <row r="83" spans="1:10" x14ac:dyDescent="0.2">
      <c r="A83">
        <v>3</v>
      </c>
      <c r="B83">
        <v>2506.2339999999999</v>
      </c>
      <c r="C83">
        <v>721.30499999999995</v>
      </c>
      <c r="D83">
        <v>0</v>
      </c>
      <c r="E83">
        <f t="shared" ref="E83:E104" si="67">C83+B83</f>
        <v>3227.5389999999998</v>
      </c>
      <c r="F83">
        <f t="shared" ref="F83:F104" si="68">B83/E83</f>
        <v>0.77651548130014858</v>
      </c>
      <c r="G83">
        <f t="shared" ref="G83:G104" si="69">1-F83</f>
        <v>0.22348451869985142</v>
      </c>
      <c r="H83">
        <f t="shared" ref="H83" si="70">G83-G84</f>
        <v>0.22348451869985142</v>
      </c>
      <c r="I83" s="1">
        <f t="shared" ref="I83" si="71">H83/F84</f>
        <v>0.22348451869985142</v>
      </c>
      <c r="J83" t="s">
        <v>6</v>
      </c>
    </row>
    <row r="84" spans="1:10" x14ac:dyDescent="0.2">
      <c r="A84">
        <v>4</v>
      </c>
      <c r="B84">
        <v>3182.355</v>
      </c>
      <c r="C84">
        <v>0</v>
      </c>
      <c r="D84">
        <v>0</v>
      </c>
      <c r="E84">
        <f t="shared" si="67"/>
        <v>3182.355</v>
      </c>
      <c r="F84">
        <f t="shared" si="68"/>
        <v>1</v>
      </c>
      <c r="G84">
        <f t="shared" si="69"/>
        <v>0</v>
      </c>
      <c r="I84" s="1"/>
      <c r="J84" t="s">
        <v>7</v>
      </c>
    </row>
    <row r="85" spans="1:10" x14ac:dyDescent="0.2">
      <c r="A85">
        <v>5</v>
      </c>
      <c r="B85">
        <v>2959.355</v>
      </c>
      <c r="C85">
        <v>0</v>
      </c>
      <c r="D85">
        <v>0</v>
      </c>
      <c r="E85">
        <f t="shared" si="67"/>
        <v>2959.355</v>
      </c>
      <c r="F85">
        <f t="shared" si="68"/>
        <v>1</v>
      </c>
      <c r="G85">
        <f t="shared" si="69"/>
        <v>0</v>
      </c>
      <c r="H85">
        <f t="shared" ref="H85" si="72">G85-G86</f>
        <v>0</v>
      </c>
      <c r="I85" s="1">
        <f t="shared" ref="I85" si="73">H85/F86</f>
        <v>0</v>
      </c>
      <c r="J85" t="s">
        <v>6</v>
      </c>
    </row>
    <row r="86" spans="1:10" x14ac:dyDescent="0.2">
      <c r="A86">
        <v>6</v>
      </c>
      <c r="B86">
        <v>3310.355</v>
      </c>
      <c r="C86">
        <v>0</v>
      </c>
      <c r="D86">
        <v>0</v>
      </c>
      <c r="E86">
        <f t="shared" si="67"/>
        <v>3310.355</v>
      </c>
      <c r="F86">
        <f t="shared" si="68"/>
        <v>1</v>
      </c>
      <c r="G86">
        <f t="shared" si="69"/>
        <v>0</v>
      </c>
      <c r="I86" s="1"/>
      <c r="J86" t="s">
        <v>7</v>
      </c>
    </row>
    <row r="87" spans="1:10" x14ac:dyDescent="0.2">
      <c r="A87">
        <v>7</v>
      </c>
      <c r="B87">
        <v>1069.991</v>
      </c>
      <c r="C87">
        <v>2338.527</v>
      </c>
      <c r="D87">
        <v>0</v>
      </c>
      <c r="E87">
        <f t="shared" si="67"/>
        <v>3408.518</v>
      </c>
      <c r="F87">
        <f t="shared" si="68"/>
        <v>0.31391678142817492</v>
      </c>
      <c r="G87">
        <f t="shared" si="69"/>
        <v>0.68608321857182508</v>
      </c>
      <c r="H87">
        <f t="shared" ref="H87" si="74">G87-G88</f>
        <v>0.68608321857182508</v>
      </c>
      <c r="I87" s="1">
        <f t="shared" ref="I87" si="75">H87/F88</f>
        <v>0.68608321857182508</v>
      </c>
      <c r="J87" t="s">
        <v>6</v>
      </c>
    </row>
    <row r="88" spans="1:10" x14ac:dyDescent="0.2">
      <c r="A88">
        <v>8</v>
      </c>
      <c r="B88">
        <v>3891.8910000000001</v>
      </c>
      <c r="C88">
        <v>0</v>
      </c>
      <c r="D88">
        <v>0</v>
      </c>
      <c r="E88">
        <f t="shared" si="67"/>
        <v>3891.8910000000001</v>
      </c>
      <c r="F88">
        <f t="shared" si="68"/>
        <v>1</v>
      </c>
      <c r="G88">
        <f t="shared" si="69"/>
        <v>0</v>
      </c>
      <c r="I88" s="1"/>
      <c r="J88" t="s">
        <v>7</v>
      </c>
    </row>
    <row r="89" spans="1:10" x14ac:dyDescent="0.2">
      <c r="A89">
        <v>9</v>
      </c>
      <c r="B89">
        <v>2579.1129999999998</v>
      </c>
      <c r="C89">
        <v>599.548</v>
      </c>
      <c r="D89">
        <v>0</v>
      </c>
      <c r="E89">
        <f t="shared" si="67"/>
        <v>3178.6610000000001</v>
      </c>
      <c r="F89">
        <f t="shared" si="68"/>
        <v>0.81138347247473064</v>
      </c>
      <c r="G89">
        <f t="shared" si="69"/>
        <v>0.18861652752526936</v>
      </c>
      <c r="H89">
        <f t="shared" ref="H89" si="76">G89-G90</f>
        <v>0.18861652752526936</v>
      </c>
      <c r="I89" s="1">
        <f t="shared" ref="I89" si="77">H89/F90</f>
        <v>0.18861652752526936</v>
      </c>
      <c r="J89" t="s">
        <v>6</v>
      </c>
    </row>
    <row r="90" spans="1:10" x14ac:dyDescent="0.2">
      <c r="A90">
        <v>10</v>
      </c>
      <c r="B90">
        <v>3044.6480000000001</v>
      </c>
      <c r="C90">
        <v>0</v>
      </c>
      <c r="D90">
        <v>0</v>
      </c>
      <c r="E90">
        <f t="shared" si="67"/>
        <v>3044.6480000000001</v>
      </c>
      <c r="F90">
        <f t="shared" si="68"/>
        <v>1</v>
      </c>
      <c r="G90">
        <f t="shared" si="69"/>
        <v>0</v>
      </c>
      <c r="I90" s="1"/>
      <c r="J90" t="s">
        <v>7</v>
      </c>
    </row>
    <row r="91" spans="1:10" x14ac:dyDescent="0.2">
      <c r="A91">
        <v>11</v>
      </c>
      <c r="B91">
        <v>2920.9409999999998</v>
      </c>
      <c r="C91">
        <v>204.971</v>
      </c>
      <c r="D91">
        <v>227.971</v>
      </c>
      <c r="E91">
        <f t="shared" si="67"/>
        <v>3125.9119999999998</v>
      </c>
      <c r="F91">
        <f t="shared" si="68"/>
        <v>0.93442841641095464</v>
      </c>
      <c r="G91">
        <f t="shared" si="69"/>
        <v>6.5571583589045357E-2</v>
      </c>
      <c r="H91">
        <f t="shared" ref="H91" si="78">G91-G92</f>
        <v>6.5571583589045357E-2</v>
      </c>
      <c r="I91" s="1">
        <f t="shared" ref="I91" si="79">H91/F92</f>
        <v>6.5571583589045357E-2</v>
      </c>
      <c r="J91" t="s">
        <v>6</v>
      </c>
    </row>
    <row r="92" spans="1:10" x14ac:dyDescent="0.2">
      <c r="A92">
        <v>12</v>
      </c>
      <c r="B92">
        <v>3150.0619999999999</v>
      </c>
      <c r="C92">
        <v>0</v>
      </c>
      <c r="D92">
        <v>0</v>
      </c>
      <c r="E92">
        <f t="shared" si="67"/>
        <v>3150.0619999999999</v>
      </c>
      <c r="F92">
        <f t="shared" si="68"/>
        <v>1</v>
      </c>
      <c r="G92">
        <f t="shared" si="69"/>
        <v>0</v>
      </c>
      <c r="I92" s="1"/>
      <c r="J92" t="s">
        <v>7</v>
      </c>
    </row>
    <row r="93" spans="1:10" x14ac:dyDescent="0.2">
      <c r="A93">
        <v>13</v>
      </c>
      <c r="B93">
        <v>331.971</v>
      </c>
      <c r="C93">
        <v>449.74900000000002</v>
      </c>
      <c r="D93">
        <v>0</v>
      </c>
      <c r="E93">
        <f t="shared" si="67"/>
        <v>781.72</v>
      </c>
      <c r="F93">
        <f t="shared" si="68"/>
        <v>0.42466740009210457</v>
      </c>
      <c r="G93">
        <f t="shared" si="69"/>
        <v>0.57533259990789543</v>
      </c>
      <c r="H93">
        <f t="shared" ref="H93" si="80">G93-G94</f>
        <v>0.57533259990789543</v>
      </c>
      <c r="I93" s="1">
        <f t="shared" ref="I93" si="81">H93/F94</f>
        <v>0.57533259990789543</v>
      </c>
      <c r="J93" t="s">
        <v>6</v>
      </c>
    </row>
    <row r="94" spans="1:10" x14ac:dyDescent="0.2">
      <c r="A94">
        <v>14</v>
      </c>
      <c r="B94">
        <v>984.16300000000001</v>
      </c>
      <c r="C94">
        <v>0</v>
      </c>
      <c r="D94">
        <v>0</v>
      </c>
      <c r="E94">
        <f t="shared" si="67"/>
        <v>984.16300000000001</v>
      </c>
      <c r="F94">
        <f t="shared" si="68"/>
        <v>1</v>
      </c>
      <c r="G94">
        <f t="shared" si="69"/>
        <v>0</v>
      </c>
      <c r="I94" s="1"/>
      <c r="J94" t="s">
        <v>7</v>
      </c>
    </row>
    <row r="95" spans="1:10" x14ac:dyDescent="0.2">
      <c r="A95">
        <v>15</v>
      </c>
      <c r="B95">
        <v>5882.9120000000003</v>
      </c>
      <c r="C95">
        <v>156.84899999999999</v>
      </c>
      <c r="D95">
        <v>0</v>
      </c>
      <c r="E95">
        <f t="shared" si="67"/>
        <v>6039.7610000000004</v>
      </c>
      <c r="F95">
        <f t="shared" si="68"/>
        <v>0.97403059491923605</v>
      </c>
      <c r="G95">
        <f t="shared" si="69"/>
        <v>2.5969405080763952E-2</v>
      </c>
      <c r="H95">
        <f t="shared" ref="H95" si="82">G95-G96</f>
        <v>2.5969405080763952E-2</v>
      </c>
      <c r="I95" s="1">
        <f t="shared" ref="I95" si="83">H95/F96</f>
        <v>2.5969405080763952E-2</v>
      </c>
      <c r="J95" t="s">
        <v>6</v>
      </c>
    </row>
    <row r="96" spans="1:10" x14ac:dyDescent="0.2">
      <c r="A96">
        <v>16</v>
      </c>
      <c r="B96">
        <v>5950.0119999999997</v>
      </c>
      <c r="C96">
        <v>0</v>
      </c>
      <c r="D96">
        <v>0</v>
      </c>
      <c r="E96">
        <f t="shared" si="67"/>
        <v>5950.0119999999997</v>
      </c>
      <c r="F96">
        <f t="shared" si="68"/>
        <v>1</v>
      </c>
      <c r="G96">
        <f t="shared" si="69"/>
        <v>0</v>
      </c>
      <c r="I96" s="1"/>
      <c r="J96" t="s">
        <v>7</v>
      </c>
    </row>
    <row r="97" spans="1:11" x14ac:dyDescent="0.2">
      <c r="A97">
        <v>17</v>
      </c>
      <c r="B97">
        <v>3823.7190000000001</v>
      </c>
      <c r="C97">
        <v>0</v>
      </c>
      <c r="D97">
        <v>0</v>
      </c>
      <c r="E97">
        <f t="shared" si="67"/>
        <v>3823.7190000000001</v>
      </c>
      <c r="F97">
        <f t="shared" si="68"/>
        <v>1</v>
      </c>
      <c r="G97">
        <f t="shared" si="69"/>
        <v>0</v>
      </c>
      <c r="H97">
        <f t="shared" ref="H97" si="84">G97-G98</f>
        <v>0</v>
      </c>
      <c r="I97" s="1">
        <f t="shared" ref="I97" si="85">H97/F98</f>
        <v>0</v>
      </c>
      <c r="J97" t="s">
        <v>6</v>
      </c>
    </row>
    <row r="98" spans="1:11" x14ac:dyDescent="0.2">
      <c r="A98">
        <v>18</v>
      </c>
      <c r="B98">
        <v>3768.1840000000002</v>
      </c>
      <c r="C98">
        <v>0</v>
      </c>
      <c r="D98">
        <v>0</v>
      </c>
      <c r="E98">
        <f t="shared" si="67"/>
        <v>3768.1840000000002</v>
      </c>
      <c r="F98">
        <f t="shared" si="68"/>
        <v>1</v>
      </c>
      <c r="G98">
        <f t="shared" si="69"/>
        <v>0</v>
      </c>
      <c r="I98" s="1"/>
      <c r="J98" t="s">
        <v>7</v>
      </c>
    </row>
    <row r="99" spans="1:11" x14ac:dyDescent="0.2">
      <c r="A99">
        <v>19</v>
      </c>
      <c r="B99">
        <v>1314.6980000000001</v>
      </c>
      <c r="C99">
        <v>0</v>
      </c>
      <c r="D99">
        <v>0</v>
      </c>
      <c r="E99">
        <f t="shared" si="67"/>
        <v>1314.6980000000001</v>
      </c>
      <c r="F99">
        <f t="shared" si="68"/>
        <v>1</v>
      </c>
      <c r="G99">
        <f t="shared" si="69"/>
        <v>0</v>
      </c>
      <c r="H99">
        <f t="shared" ref="H99" si="86">G99-G100</f>
        <v>0</v>
      </c>
      <c r="I99" s="1">
        <f t="shared" ref="I99" si="87">H99/F100</f>
        <v>0</v>
      </c>
      <c r="J99" t="s">
        <v>6</v>
      </c>
    </row>
    <row r="100" spans="1:11" x14ac:dyDescent="0.2">
      <c r="A100">
        <v>20</v>
      </c>
      <c r="B100">
        <v>1378.577</v>
      </c>
      <c r="C100">
        <v>0</v>
      </c>
      <c r="D100">
        <v>0</v>
      </c>
      <c r="E100">
        <f t="shared" si="67"/>
        <v>1378.577</v>
      </c>
      <c r="F100">
        <f t="shared" si="68"/>
        <v>1</v>
      </c>
      <c r="G100">
        <f t="shared" si="69"/>
        <v>0</v>
      </c>
      <c r="I100" s="1"/>
      <c r="J100" t="s">
        <v>7</v>
      </c>
    </row>
    <row r="101" spans="1:11" x14ac:dyDescent="0.2">
      <c r="A101">
        <v>21</v>
      </c>
      <c r="B101">
        <v>2863.9409999999998</v>
      </c>
      <c r="C101">
        <v>0</v>
      </c>
      <c r="D101">
        <v>0</v>
      </c>
      <c r="E101">
        <f t="shared" si="67"/>
        <v>2863.9409999999998</v>
      </c>
      <c r="F101">
        <f t="shared" si="68"/>
        <v>1</v>
      </c>
      <c r="G101">
        <f t="shared" si="69"/>
        <v>0</v>
      </c>
      <c r="H101">
        <f t="shared" ref="H101" si="88">G101-G102</f>
        <v>0</v>
      </c>
      <c r="I101" s="1">
        <f t="shared" ref="I101" si="89">H101/F102</f>
        <v>0</v>
      </c>
      <c r="J101" t="s">
        <v>6</v>
      </c>
    </row>
    <row r="102" spans="1:11" x14ac:dyDescent="0.2">
      <c r="A102">
        <v>22</v>
      </c>
      <c r="B102">
        <v>3029.6480000000001</v>
      </c>
      <c r="C102">
        <v>0</v>
      </c>
      <c r="D102">
        <v>0</v>
      </c>
      <c r="E102">
        <f t="shared" si="67"/>
        <v>3029.6480000000001</v>
      </c>
      <c r="F102">
        <f t="shared" si="68"/>
        <v>1</v>
      </c>
      <c r="G102">
        <f t="shared" si="69"/>
        <v>0</v>
      </c>
      <c r="I102" s="1"/>
      <c r="J102" t="s">
        <v>7</v>
      </c>
    </row>
    <row r="103" spans="1:11" x14ac:dyDescent="0.2">
      <c r="A103">
        <v>23</v>
      </c>
      <c r="B103">
        <v>9723.3469999999998</v>
      </c>
      <c r="C103">
        <v>139.02099999999999</v>
      </c>
      <c r="D103">
        <v>131.02099999999999</v>
      </c>
      <c r="E103">
        <f t="shared" si="67"/>
        <v>9862.3680000000004</v>
      </c>
      <c r="F103">
        <f t="shared" si="68"/>
        <v>0.98590389245260357</v>
      </c>
      <c r="G103">
        <f t="shared" si="69"/>
        <v>1.409610754739643E-2</v>
      </c>
      <c r="H103">
        <f t="shared" ref="H103" si="90">G103-G104</f>
        <v>1.409610754739643E-2</v>
      </c>
      <c r="I103" s="1">
        <f t="shared" ref="I103" si="91">H103/F104</f>
        <v>1.409610754739643E-2</v>
      </c>
      <c r="J103" t="s">
        <v>6</v>
      </c>
    </row>
    <row r="104" spans="1:11" x14ac:dyDescent="0.2">
      <c r="A104">
        <v>24</v>
      </c>
      <c r="B104">
        <v>8297.8610000000008</v>
      </c>
      <c r="C104">
        <v>0</v>
      </c>
      <c r="D104">
        <v>0</v>
      </c>
      <c r="E104">
        <f t="shared" si="67"/>
        <v>8297.8610000000008</v>
      </c>
      <c r="F104">
        <f t="shared" si="68"/>
        <v>1</v>
      </c>
      <c r="G104">
        <f t="shared" si="69"/>
        <v>0</v>
      </c>
      <c r="I104" s="1"/>
      <c r="J104" t="s">
        <v>7</v>
      </c>
    </row>
    <row r="106" spans="1:11" x14ac:dyDescent="0.2">
      <c r="A106" t="s">
        <v>13</v>
      </c>
      <c r="B106" t="s">
        <v>0</v>
      </c>
      <c r="C106" t="s">
        <v>8</v>
      </c>
      <c r="D106" t="s">
        <v>9</v>
      </c>
      <c r="E106" t="s">
        <v>1</v>
      </c>
      <c r="F106" t="s">
        <v>2</v>
      </c>
      <c r="G106" t="s">
        <v>3</v>
      </c>
      <c r="H106" t="s">
        <v>4</v>
      </c>
      <c r="I106" t="s">
        <v>5</v>
      </c>
    </row>
    <row r="107" spans="1:11" x14ac:dyDescent="0.2">
      <c r="A107">
        <v>1</v>
      </c>
      <c r="B107">
        <v>3583.5479999999998</v>
      </c>
      <c r="C107">
        <v>217.678</v>
      </c>
      <c r="D107">
        <v>0</v>
      </c>
      <c r="E107">
        <f>C107+B107</f>
        <v>3801.2259999999997</v>
      </c>
      <c r="F107">
        <f>B107/E107</f>
        <v>0.94273479135415783</v>
      </c>
      <c r="G107">
        <f>1-F107</f>
        <v>5.7265208645842169E-2</v>
      </c>
      <c r="H107">
        <f>G107-G108</f>
        <v>5.7265208645842169E-2</v>
      </c>
      <c r="I107" s="1">
        <f>H107/F108</f>
        <v>5.7265208645842169E-2</v>
      </c>
      <c r="J107" t="s">
        <v>6</v>
      </c>
      <c r="K107">
        <v>1</v>
      </c>
    </row>
    <row r="108" spans="1:11" x14ac:dyDescent="0.2">
      <c r="A108">
        <v>2</v>
      </c>
      <c r="B108">
        <v>3776.8409999999999</v>
      </c>
      <c r="C108">
        <v>0</v>
      </c>
      <c r="D108">
        <v>0</v>
      </c>
      <c r="E108">
        <f>C108+B108</f>
        <v>3776.8409999999999</v>
      </c>
      <c r="F108">
        <f>B108/E108</f>
        <v>1</v>
      </c>
      <c r="G108">
        <f>1-F108</f>
        <v>0</v>
      </c>
      <c r="I108" s="1"/>
      <c r="J108" t="s">
        <v>7</v>
      </c>
    </row>
    <row r="109" spans="1:11" x14ac:dyDescent="0.2">
      <c r="A109">
        <v>3</v>
      </c>
      <c r="B109">
        <v>483.04199999999997</v>
      </c>
      <c r="C109">
        <v>54.95</v>
      </c>
      <c r="D109">
        <v>0</v>
      </c>
      <c r="E109">
        <f t="shared" ref="E109:E128" si="92">C109+B109</f>
        <v>537.99199999999996</v>
      </c>
      <c r="F109">
        <f t="shared" ref="F109:F128" si="93">B109/E109</f>
        <v>0.89786093473508899</v>
      </c>
      <c r="G109">
        <f t="shared" ref="G109:G128" si="94">1-F109</f>
        <v>0.10213906526491101</v>
      </c>
      <c r="H109">
        <f t="shared" ref="H109" si="95">G109-G110</f>
        <v>0.10213906526491101</v>
      </c>
      <c r="I109" s="1">
        <f t="shared" ref="I109" si="96">H109/F110</f>
        <v>0.10213906526491101</v>
      </c>
      <c r="J109" t="s">
        <v>6</v>
      </c>
    </row>
    <row r="110" spans="1:11" x14ac:dyDescent="0.2">
      <c r="A110">
        <v>4</v>
      </c>
      <c r="B110">
        <v>549.04200000000003</v>
      </c>
      <c r="C110">
        <v>0</v>
      </c>
      <c r="D110">
        <v>0</v>
      </c>
      <c r="E110">
        <f t="shared" si="92"/>
        <v>549.04200000000003</v>
      </c>
      <c r="F110">
        <f t="shared" si="93"/>
        <v>1</v>
      </c>
      <c r="G110">
        <f t="shared" si="94"/>
        <v>0</v>
      </c>
      <c r="I110" s="1"/>
      <c r="J110" t="s">
        <v>7</v>
      </c>
    </row>
    <row r="111" spans="1:11" x14ac:dyDescent="0.2">
      <c r="A111">
        <v>5</v>
      </c>
      <c r="B111">
        <v>3768.962</v>
      </c>
      <c r="C111">
        <v>0</v>
      </c>
      <c r="D111">
        <v>0</v>
      </c>
      <c r="E111">
        <f t="shared" si="92"/>
        <v>3768.962</v>
      </c>
      <c r="F111">
        <f t="shared" si="93"/>
        <v>1</v>
      </c>
      <c r="G111">
        <f t="shared" si="94"/>
        <v>0</v>
      </c>
      <c r="H111">
        <f t="shared" ref="H111" si="97">G111-G112</f>
        <v>0</v>
      </c>
      <c r="I111" s="1">
        <f t="shared" ref="I111" si="98">H111/F112</f>
        <v>0</v>
      </c>
      <c r="J111" t="s">
        <v>6</v>
      </c>
    </row>
    <row r="112" spans="1:11" x14ac:dyDescent="0.2">
      <c r="A112">
        <v>6</v>
      </c>
      <c r="B112">
        <v>3978.3760000000002</v>
      </c>
      <c r="C112">
        <v>0</v>
      </c>
      <c r="D112">
        <v>0</v>
      </c>
      <c r="E112">
        <f t="shared" si="92"/>
        <v>3978.3760000000002</v>
      </c>
      <c r="F112">
        <f t="shared" si="93"/>
        <v>1</v>
      </c>
      <c r="G112">
        <f t="shared" si="94"/>
        <v>0</v>
      </c>
      <c r="I112" s="1"/>
      <c r="J112" t="s">
        <v>7</v>
      </c>
    </row>
    <row r="113" spans="1:10" x14ac:dyDescent="0.2">
      <c r="A113">
        <v>7</v>
      </c>
      <c r="B113">
        <v>3762.0120000000002</v>
      </c>
      <c r="C113">
        <v>1769.64</v>
      </c>
      <c r="D113">
        <v>0</v>
      </c>
      <c r="E113">
        <f t="shared" si="92"/>
        <v>5531.652</v>
      </c>
      <c r="F113">
        <f t="shared" si="93"/>
        <v>0.68008833527488721</v>
      </c>
      <c r="G113">
        <f t="shared" si="94"/>
        <v>0.31991166472511279</v>
      </c>
      <c r="H113">
        <f t="shared" ref="H113" si="99">G113-G114</f>
        <v>0.31991166472511279</v>
      </c>
      <c r="I113" s="1">
        <f t="shared" ref="I113" si="100">H113/F114</f>
        <v>0.31991166472511279</v>
      </c>
      <c r="J113" t="s">
        <v>6</v>
      </c>
    </row>
    <row r="114" spans="1:10" x14ac:dyDescent="0.2">
      <c r="A114">
        <v>8</v>
      </c>
      <c r="B114">
        <v>5491.5479999999998</v>
      </c>
      <c r="C114">
        <v>0</v>
      </c>
      <c r="D114">
        <v>0</v>
      </c>
      <c r="E114">
        <f t="shared" si="92"/>
        <v>5491.5479999999998</v>
      </c>
      <c r="F114">
        <f t="shared" si="93"/>
        <v>1</v>
      </c>
      <c r="G114">
        <f t="shared" si="94"/>
        <v>0</v>
      </c>
      <c r="I114" s="1"/>
      <c r="J114" t="s">
        <v>7</v>
      </c>
    </row>
    <row r="115" spans="1:10" x14ac:dyDescent="0.2">
      <c r="A115">
        <v>9</v>
      </c>
      <c r="B115">
        <v>7792.0829999999996</v>
      </c>
      <c r="C115">
        <v>0</v>
      </c>
      <c r="D115">
        <v>0</v>
      </c>
      <c r="E115">
        <f t="shared" si="92"/>
        <v>7792.0829999999996</v>
      </c>
      <c r="F115">
        <f t="shared" si="93"/>
        <v>1</v>
      </c>
      <c r="G115">
        <f t="shared" si="94"/>
        <v>0</v>
      </c>
      <c r="H115">
        <f t="shared" ref="H115" si="101">G115-G116</f>
        <v>0</v>
      </c>
      <c r="I115" s="1">
        <f t="shared" ref="I115" si="102">H115/F116</f>
        <v>0</v>
      </c>
      <c r="J115" t="s">
        <v>6</v>
      </c>
    </row>
    <row r="116" spans="1:10" x14ac:dyDescent="0.2">
      <c r="A116">
        <v>10</v>
      </c>
      <c r="B116">
        <v>8298.7900000000009</v>
      </c>
      <c r="C116">
        <v>0</v>
      </c>
      <c r="D116">
        <v>0</v>
      </c>
      <c r="E116">
        <f t="shared" si="92"/>
        <v>8298.7900000000009</v>
      </c>
      <c r="F116">
        <f t="shared" si="93"/>
        <v>1</v>
      </c>
      <c r="G116">
        <f t="shared" si="94"/>
        <v>0</v>
      </c>
      <c r="I116" s="1"/>
      <c r="J116" t="s">
        <v>7</v>
      </c>
    </row>
    <row r="117" spans="1:10" x14ac:dyDescent="0.2">
      <c r="A117">
        <v>11</v>
      </c>
      <c r="B117">
        <v>5443.9620000000004</v>
      </c>
      <c r="C117">
        <v>2139.4769999999999</v>
      </c>
      <c r="D117">
        <v>0</v>
      </c>
      <c r="E117">
        <f t="shared" si="92"/>
        <v>7583.4390000000003</v>
      </c>
      <c r="F117">
        <f t="shared" si="93"/>
        <v>0.71787509598217913</v>
      </c>
      <c r="G117">
        <f t="shared" si="94"/>
        <v>0.28212490401782087</v>
      </c>
      <c r="H117">
        <f t="shared" ref="H117" si="103">G117-G118</f>
        <v>0.28212490401782087</v>
      </c>
      <c r="I117" s="1">
        <f t="shared" ref="I117" si="104">H117/F118</f>
        <v>0.28212490401782087</v>
      </c>
      <c r="J117" t="s">
        <v>6</v>
      </c>
    </row>
    <row r="118" spans="1:10" x14ac:dyDescent="0.2">
      <c r="A118">
        <v>12</v>
      </c>
      <c r="B118">
        <v>8587.7610000000004</v>
      </c>
      <c r="C118">
        <v>0</v>
      </c>
      <c r="D118">
        <v>0</v>
      </c>
      <c r="E118">
        <f t="shared" si="92"/>
        <v>8587.7610000000004</v>
      </c>
      <c r="F118">
        <f t="shared" si="93"/>
        <v>1</v>
      </c>
      <c r="G118">
        <f t="shared" si="94"/>
        <v>0</v>
      </c>
      <c r="I118" s="1"/>
      <c r="J118" t="s">
        <v>7</v>
      </c>
    </row>
    <row r="119" spans="1:10" x14ac:dyDescent="0.2">
      <c r="A119">
        <v>13</v>
      </c>
      <c r="B119">
        <v>5452.77</v>
      </c>
      <c r="C119">
        <v>754.28399999999999</v>
      </c>
      <c r="D119">
        <v>0</v>
      </c>
      <c r="E119">
        <f t="shared" si="92"/>
        <v>6207.0540000000001</v>
      </c>
      <c r="F119">
        <f t="shared" si="93"/>
        <v>0.87847954923543448</v>
      </c>
      <c r="G119">
        <f t="shared" si="94"/>
        <v>0.12152045076456552</v>
      </c>
      <c r="H119">
        <f t="shared" ref="H119" si="105">G119-G120</f>
        <v>0.12152045076456552</v>
      </c>
      <c r="I119" s="1">
        <f t="shared" ref="I119" si="106">H119/F120</f>
        <v>0.12152045076456552</v>
      </c>
      <c r="J119" t="s">
        <v>6</v>
      </c>
    </row>
    <row r="120" spans="1:10" x14ac:dyDescent="0.2">
      <c r="A120">
        <v>14</v>
      </c>
      <c r="B120">
        <v>5785.9620000000004</v>
      </c>
      <c r="C120">
        <v>0</v>
      </c>
      <c r="D120">
        <v>0</v>
      </c>
      <c r="E120">
        <f t="shared" si="92"/>
        <v>5785.9620000000004</v>
      </c>
      <c r="F120">
        <f t="shared" si="93"/>
        <v>1</v>
      </c>
      <c r="G120">
        <f t="shared" si="94"/>
        <v>0</v>
      </c>
      <c r="I120" s="1"/>
      <c r="J120" t="s">
        <v>7</v>
      </c>
    </row>
    <row r="121" spans="1:10" x14ac:dyDescent="0.2">
      <c r="A121">
        <v>15</v>
      </c>
      <c r="B121">
        <v>9351.4680000000008</v>
      </c>
      <c r="C121">
        <v>0</v>
      </c>
      <c r="D121">
        <v>0</v>
      </c>
      <c r="E121">
        <f t="shared" si="92"/>
        <v>9351.4680000000008</v>
      </c>
      <c r="F121">
        <f t="shared" si="93"/>
        <v>1</v>
      </c>
      <c r="G121">
        <f t="shared" si="94"/>
        <v>0</v>
      </c>
      <c r="H121">
        <f t="shared" ref="H121" si="107">G121-G122</f>
        <v>0</v>
      </c>
      <c r="I121" s="1">
        <f t="shared" ref="I121" si="108">H121/F122</f>
        <v>0</v>
      </c>
      <c r="J121" t="s">
        <v>6</v>
      </c>
    </row>
    <row r="122" spans="1:10" x14ac:dyDescent="0.2">
      <c r="A122">
        <v>16</v>
      </c>
      <c r="B122">
        <v>9273.2960000000003</v>
      </c>
      <c r="C122">
        <v>0</v>
      </c>
      <c r="D122">
        <v>0</v>
      </c>
      <c r="E122">
        <f t="shared" si="92"/>
        <v>9273.2960000000003</v>
      </c>
      <c r="F122">
        <f t="shared" si="93"/>
        <v>1</v>
      </c>
      <c r="G122">
        <f t="shared" si="94"/>
        <v>0</v>
      </c>
      <c r="I122" s="1"/>
      <c r="J122" t="s">
        <v>7</v>
      </c>
    </row>
    <row r="123" spans="1:10" x14ac:dyDescent="0.2">
      <c r="A123">
        <v>17</v>
      </c>
      <c r="B123">
        <v>8435.3469999999998</v>
      </c>
      <c r="C123">
        <v>66.364000000000004</v>
      </c>
      <c r="D123">
        <v>0</v>
      </c>
      <c r="E123">
        <f t="shared" si="92"/>
        <v>8501.7109999999993</v>
      </c>
      <c r="F123">
        <f t="shared" si="93"/>
        <v>0.99219404188168714</v>
      </c>
      <c r="G123">
        <f t="shared" si="94"/>
        <v>7.8059581183128612E-3</v>
      </c>
      <c r="H123">
        <f t="shared" ref="H123" si="109">G123-G124</f>
        <v>7.8059581183128612E-3</v>
      </c>
      <c r="I123" s="1">
        <f t="shared" ref="I123" si="110">H123/F124</f>
        <v>7.8059581183128612E-3</v>
      </c>
      <c r="J123" t="s">
        <v>6</v>
      </c>
    </row>
    <row r="124" spans="1:10" x14ac:dyDescent="0.2">
      <c r="A124">
        <v>18</v>
      </c>
      <c r="B124">
        <v>8292.7610000000004</v>
      </c>
      <c r="C124">
        <v>0</v>
      </c>
      <c r="D124">
        <v>0</v>
      </c>
      <c r="E124">
        <f t="shared" si="92"/>
        <v>8292.7610000000004</v>
      </c>
      <c r="F124">
        <f t="shared" si="93"/>
        <v>1</v>
      </c>
      <c r="G124">
        <f t="shared" si="94"/>
        <v>0</v>
      </c>
      <c r="I124" s="1"/>
      <c r="J124" t="s">
        <v>7</v>
      </c>
    </row>
    <row r="125" spans="1:10" x14ac:dyDescent="0.2">
      <c r="A125">
        <v>19</v>
      </c>
      <c r="B125">
        <v>6948.0330000000004</v>
      </c>
      <c r="C125">
        <v>0</v>
      </c>
      <c r="D125">
        <v>0</v>
      </c>
      <c r="E125">
        <f t="shared" si="92"/>
        <v>6948.0330000000004</v>
      </c>
      <c r="F125">
        <f t="shared" si="93"/>
        <v>1</v>
      </c>
      <c r="G125">
        <f t="shared" si="94"/>
        <v>0</v>
      </c>
      <c r="H125">
        <f t="shared" ref="H125" si="111">G125-G126</f>
        <v>0</v>
      </c>
      <c r="I125" s="1">
        <f t="shared" ref="I125" si="112">H125/F126</f>
        <v>0</v>
      </c>
      <c r="J125" t="s">
        <v>6</v>
      </c>
    </row>
    <row r="126" spans="1:10" x14ac:dyDescent="0.2">
      <c r="A126">
        <v>20</v>
      </c>
      <c r="B126">
        <v>5777.326</v>
      </c>
      <c r="C126">
        <v>0</v>
      </c>
      <c r="D126">
        <v>0</v>
      </c>
      <c r="E126">
        <f t="shared" si="92"/>
        <v>5777.326</v>
      </c>
      <c r="F126">
        <f t="shared" si="93"/>
        <v>1</v>
      </c>
      <c r="G126">
        <f t="shared" si="94"/>
        <v>0</v>
      </c>
      <c r="I126" s="1"/>
      <c r="J126" t="s">
        <v>7</v>
      </c>
    </row>
    <row r="127" spans="1:10" x14ac:dyDescent="0.2">
      <c r="A127">
        <v>21</v>
      </c>
      <c r="B127">
        <v>0</v>
      </c>
      <c r="C127">
        <v>5034.4970000000003</v>
      </c>
      <c r="D127">
        <v>0</v>
      </c>
      <c r="E127">
        <f t="shared" si="92"/>
        <v>5034.4970000000003</v>
      </c>
      <c r="F127">
        <f t="shared" si="93"/>
        <v>0</v>
      </c>
      <c r="G127">
        <f t="shared" si="94"/>
        <v>1</v>
      </c>
      <c r="H127">
        <f t="shared" ref="H127" si="113">G127-G128</f>
        <v>0.57357544526817228</v>
      </c>
      <c r="I127" s="1">
        <f t="shared" ref="I127" si="114">H127/F128</f>
        <v>1</v>
      </c>
      <c r="J127" t="s">
        <v>6</v>
      </c>
    </row>
    <row r="128" spans="1:10" x14ac:dyDescent="0.2">
      <c r="A128">
        <v>22</v>
      </c>
      <c r="B128">
        <v>2722.134</v>
      </c>
      <c r="C128">
        <v>2023.77</v>
      </c>
      <c r="D128">
        <v>0</v>
      </c>
      <c r="E128">
        <f t="shared" si="92"/>
        <v>4745.9040000000005</v>
      </c>
      <c r="F128">
        <f t="shared" si="93"/>
        <v>0.57357544526817228</v>
      </c>
      <c r="G128">
        <f t="shared" si="94"/>
        <v>0.42642455473182772</v>
      </c>
      <c r="I128" s="1"/>
      <c r="J128" t="s">
        <v>7</v>
      </c>
    </row>
    <row r="129" spans="1:10" x14ac:dyDescent="0.2">
      <c r="A129">
        <v>23</v>
      </c>
      <c r="I129">
        <v>0</v>
      </c>
      <c r="J129" t="s">
        <v>6</v>
      </c>
    </row>
    <row r="130" spans="1:10" x14ac:dyDescent="0.2">
      <c r="A130">
        <v>24</v>
      </c>
      <c r="I130">
        <v>0</v>
      </c>
      <c r="J130" t="s">
        <v>7</v>
      </c>
    </row>
    <row r="132" spans="1:10" x14ac:dyDescent="0.2">
      <c r="A132" t="s">
        <v>15</v>
      </c>
      <c r="B132" t="s">
        <v>0</v>
      </c>
      <c r="C132" t="s">
        <v>8</v>
      </c>
      <c r="D132" t="s">
        <v>9</v>
      </c>
      <c r="E132" t="s">
        <v>1</v>
      </c>
      <c r="F132" t="s">
        <v>2</v>
      </c>
      <c r="G132" t="s">
        <v>3</v>
      </c>
      <c r="H132" t="s">
        <v>4</v>
      </c>
      <c r="I132" t="s">
        <v>5</v>
      </c>
    </row>
    <row r="133" spans="1:10" x14ac:dyDescent="0.2">
      <c r="A133">
        <v>1</v>
      </c>
      <c r="B133">
        <v>844.45600000000002</v>
      </c>
      <c r="C133">
        <v>2606.8319999999999</v>
      </c>
      <c r="D133">
        <v>0</v>
      </c>
      <c r="E133">
        <f>C133+B133</f>
        <v>3451.288</v>
      </c>
      <c r="F133">
        <f>B133/E133</f>
        <v>0.24467850842931682</v>
      </c>
      <c r="G133">
        <f>1-F133</f>
        <v>0.75532149157068318</v>
      </c>
      <c r="H133">
        <f>G133-G134</f>
        <v>0.75532149157068318</v>
      </c>
      <c r="I133" s="1">
        <f>H133/F134</f>
        <v>0.75532149157068318</v>
      </c>
      <c r="J133" t="s">
        <v>6</v>
      </c>
    </row>
    <row r="134" spans="1:10" x14ac:dyDescent="0.2">
      <c r="A134">
        <v>2</v>
      </c>
      <c r="B134">
        <v>2673.355</v>
      </c>
      <c r="C134">
        <v>0</v>
      </c>
      <c r="D134">
        <v>0</v>
      </c>
      <c r="E134">
        <f>C134+B134</f>
        <v>2673.355</v>
      </c>
      <c r="F134">
        <f>B134/E134</f>
        <v>1</v>
      </c>
      <c r="G134">
        <f>1-F134</f>
        <v>0</v>
      </c>
      <c r="I134" s="1"/>
      <c r="J134" t="s">
        <v>7</v>
      </c>
    </row>
    <row r="135" spans="1:10" x14ac:dyDescent="0.2">
      <c r="A135">
        <v>3</v>
      </c>
      <c r="B135">
        <v>0</v>
      </c>
      <c r="C135">
        <v>1456.64</v>
      </c>
      <c r="D135">
        <v>0</v>
      </c>
      <c r="E135">
        <f t="shared" ref="E135:E156" si="115">C135+B135</f>
        <v>1456.64</v>
      </c>
      <c r="F135">
        <f t="shared" ref="F135:F156" si="116">B135/E135</f>
        <v>0</v>
      </c>
      <c r="G135">
        <f t="shared" ref="G135:G156" si="117">1-F135</f>
        <v>1</v>
      </c>
      <c r="H135">
        <f t="shared" ref="H135" si="118">G135-G136</f>
        <v>1</v>
      </c>
      <c r="I135" s="1">
        <f t="shared" ref="I135" si="119">H135/F136</f>
        <v>1</v>
      </c>
      <c r="J135" t="s">
        <v>6</v>
      </c>
    </row>
    <row r="136" spans="1:10" x14ac:dyDescent="0.2">
      <c r="A136">
        <v>4</v>
      </c>
      <c r="B136">
        <v>960.16300000000001</v>
      </c>
      <c r="C136">
        <v>0</v>
      </c>
      <c r="D136">
        <v>0</v>
      </c>
      <c r="E136">
        <f t="shared" si="115"/>
        <v>960.16300000000001</v>
      </c>
      <c r="F136">
        <f t="shared" si="116"/>
        <v>1</v>
      </c>
      <c r="G136">
        <f t="shared" si="117"/>
        <v>0</v>
      </c>
      <c r="I136" s="1"/>
      <c r="J136" t="s">
        <v>7</v>
      </c>
    </row>
    <row r="137" spans="1:10" x14ac:dyDescent="0.2">
      <c r="A137">
        <v>5</v>
      </c>
      <c r="B137">
        <v>0</v>
      </c>
      <c r="C137">
        <v>714.08299999999997</v>
      </c>
      <c r="D137">
        <v>0</v>
      </c>
      <c r="E137">
        <f t="shared" si="115"/>
        <v>714.08299999999997</v>
      </c>
      <c r="F137">
        <f t="shared" si="116"/>
        <v>0</v>
      </c>
      <c r="G137">
        <f t="shared" si="117"/>
        <v>1</v>
      </c>
      <c r="H137">
        <f t="shared" ref="H137" si="120">G137-G138</f>
        <v>1</v>
      </c>
      <c r="I137" s="1">
        <f t="shared" ref="I137" si="121">H137/F138</f>
        <v>1</v>
      </c>
      <c r="J137" t="s">
        <v>6</v>
      </c>
    </row>
    <row r="138" spans="1:10" x14ac:dyDescent="0.2">
      <c r="A138">
        <v>6</v>
      </c>
      <c r="B138">
        <v>358.92</v>
      </c>
      <c r="C138">
        <v>0</v>
      </c>
      <c r="D138">
        <v>0</v>
      </c>
      <c r="E138">
        <f t="shared" si="115"/>
        <v>358.92</v>
      </c>
      <c r="F138">
        <f t="shared" si="116"/>
        <v>1</v>
      </c>
      <c r="G138">
        <f t="shared" si="117"/>
        <v>0</v>
      </c>
      <c r="I138" s="1"/>
      <c r="J138" t="s">
        <v>7</v>
      </c>
    </row>
    <row r="139" spans="1:10" x14ac:dyDescent="0.2">
      <c r="A139">
        <v>7</v>
      </c>
      <c r="B139">
        <v>4686.9830000000002</v>
      </c>
      <c r="C139">
        <v>0</v>
      </c>
      <c r="D139">
        <v>0</v>
      </c>
      <c r="E139">
        <f t="shared" si="115"/>
        <v>4686.9830000000002</v>
      </c>
      <c r="F139">
        <f t="shared" si="116"/>
        <v>1</v>
      </c>
      <c r="G139">
        <f t="shared" si="117"/>
        <v>0</v>
      </c>
      <c r="H139">
        <f t="shared" ref="H139" si="122">G139-G140</f>
        <v>0</v>
      </c>
      <c r="I139" s="1">
        <f t="shared" ref="I139" si="123">H139/F140</f>
        <v>0</v>
      </c>
      <c r="J139" t="s">
        <v>6</v>
      </c>
    </row>
    <row r="140" spans="1:10" x14ac:dyDescent="0.2">
      <c r="A140">
        <v>8</v>
      </c>
      <c r="B140">
        <v>3981.962</v>
      </c>
      <c r="C140">
        <v>0</v>
      </c>
      <c r="D140">
        <v>0</v>
      </c>
      <c r="E140">
        <f t="shared" si="115"/>
        <v>3981.962</v>
      </c>
      <c r="F140">
        <f t="shared" si="116"/>
        <v>1</v>
      </c>
      <c r="G140">
        <f t="shared" si="117"/>
        <v>0</v>
      </c>
      <c r="I140" s="1"/>
      <c r="J140" t="s">
        <v>7</v>
      </c>
    </row>
    <row r="141" spans="1:10" x14ac:dyDescent="0.2">
      <c r="A141">
        <v>9</v>
      </c>
      <c r="B141">
        <v>1998.4059999999999</v>
      </c>
      <c r="C141">
        <v>0</v>
      </c>
      <c r="D141">
        <v>0</v>
      </c>
      <c r="E141">
        <f t="shared" si="115"/>
        <v>1998.4059999999999</v>
      </c>
      <c r="F141">
        <f t="shared" si="116"/>
        <v>1</v>
      </c>
      <c r="G141">
        <f t="shared" si="117"/>
        <v>0</v>
      </c>
      <c r="H141">
        <f t="shared" ref="H141" si="124">G141-G142</f>
        <v>0</v>
      </c>
      <c r="I141" s="1">
        <f t="shared" ref="I141" si="125">H141/F142</f>
        <v>0</v>
      </c>
      <c r="J141" t="s">
        <v>6</v>
      </c>
    </row>
    <row r="142" spans="1:10" x14ac:dyDescent="0.2">
      <c r="A142">
        <v>10</v>
      </c>
      <c r="B142">
        <v>2124.355</v>
      </c>
      <c r="C142">
        <v>0</v>
      </c>
      <c r="D142">
        <v>0</v>
      </c>
      <c r="E142">
        <f t="shared" si="115"/>
        <v>2124.355</v>
      </c>
      <c r="F142">
        <f t="shared" si="116"/>
        <v>1</v>
      </c>
      <c r="G142">
        <f t="shared" si="117"/>
        <v>0</v>
      </c>
      <c r="I142" s="1"/>
      <c r="J142" t="s">
        <v>7</v>
      </c>
    </row>
    <row r="143" spans="1:10" x14ac:dyDescent="0.2">
      <c r="A143">
        <v>11</v>
      </c>
      <c r="B143">
        <v>6035.9830000000002</v>
      </c>
      <c r="C143">
        <v>0</v>
      </c>
      <c r="D143">
        <v>0</v>
      </c>
      <c r="E143">
        <f t="shared" si="115"/>
        <v>6035.9830000000002</v>
      </c>
      <c r="F143">
        <f t="shared" si="116"/>
        <v>1</v>
      </c>
      <c r="G143">
        <f t="shared" si="117"/>
        <v>0</v>
      </c>
      <c r="H143">
        <f t="shared" ref="H143" si="126">G143-G144</f>
        <v>0</v>
      </c>
      <c r="I143" s="1">
        <f t="shared" ref="I143" si="127">H143/F144</f>
        <v>0</v>
      </c>
      <c r="J143" t="s">
        <v>6</v>
      </c>
    </row>
    <row r="144" spans="1:10" x14ac:dyDescent="0.2">
      <c r="A144">
        <v>12</v>
      </c>
      <c r="B144">
        <v>5237.6189999999997</v>
      </c>
      <c r="C144">
        <v>0</v>
      </c>
      <c r="D144">
        <v>0</v>
      </c>
      <c r="E144">
        <f t="shared" si="115"/>
        <v>5237.6189999999997</v>
      </c>
      <c r="F144">
        <f t="shared" si="116"/>
        <v>1</v>
      </c>
      <c r="G144">
        <f t="shared" si="117"/>
        <v>0</v>
      </c>
      <c r="I144" s="1"/>
      <c r="J144" t="s">
        <v>7</v>
      </c>
    </row>
    <row r="145" spans="1:10" x14ac:dyDescent="0.2">
      <c r="A145">
        <v>13</v>
      </c>
      <c r="B145">
        <v>60.777999999999999</v>
      </c>
      <c r="C145">
        <v>6204.9620000000004</v>
      </c>
      <c r="D145">
        <v>0</v>
      </c>
      <c r="E145">
        <f t="shared" si="115"/>
        <v>6265.7400000000007</v>
      </c>
      <c r="F145">
        <f t="shared" si="116"/>
        <v>9.700051390577967E-3</v>
      </c>
      <c r="G145">
        <f t="shared" si="117"/>
        <v>0.99029994860942205</v>
      </c>
      <c r="H145">
        <f t="shared" ref="H145" si="128">G145-G146</f>
        <v>0.99029994860942205</v>
      </c>
      <c r="I145" s="1">
        <f t="shared" ref="I145" si="129">H145/F146</f>
        <v>0.99029994860942205</v>
      </c>
      <c r="J145" t="s">
        <v>6</v>
      </c>
    </row>
    <row r="146" spans="1:10" x14ac:dyDescent="0.2">
      <c r="A146">
        <v>14</v>
      </c>
      <c r="B146">
        <v>6719.79</v>
      </c>
      <c r="C146">
        <v>0</v>
      </c>
      <c r="D146">
        <v>0</v>
      </c>
      <c r="E146">
        <f t="shared" si="115"/>
        <v>6719.79</v>
      </c>
      <c r="F146">
        <f t="shared" si="116"/>
        <v>1</v>
      </c>
      <c r="G146">
        <f t="shared" si="117"/>
        <v>0</v>
      </c>
      <c r="I146" s="1"/>
      <c r="J146" t="s">
        <v>7</v>
      </c>
    </row>
    <row r="147" spans="1:10" x14ac:dyDescent="0.2">
      <c r="A147">
        <v>15</v>
      </c>
      <c r="B147">
        <v>0</v>
      </c>
      <c r="C147">
        <v>2200.9409999999998</v>
      </c>
      <c r="D147">
        <v>0</v>
      </c>
      <c r="E147">
        <f t="shared" si="115"/>
        <v>2200.9409999999998</v>
      </c>
      <c r="F147">
        <f t="shared" si="116"/>
        <v>0</v>
      </c>
      <c r="G147">
        <f t="shared" si="117"/>
        <v>1</v>
      </c>
      <c r="H147">
        <f t="shared" ref="H147" si="130">G147-G148</f>
        <v>1</v>
      </c>
      <c r="I147" s="1">
        <f t="shared" ref="I147" si="131">H147/F148</f>
        <v>1</v>
      </c>
      <c r="J147" t="s">
        <v>6</v>
      </c>
    </row>
    <row r="148" spans="1:10" x14ac:dyDescent="0.2">
      <c r="A148">
        <v>16</v>
      </c>
      <c r="B148">
        <v>2559.8200000000002</v>
      </c>
      <c r="C148">
        <v>0</v>
      </c>
      <c r="D148">
        <v>0</v>
      </c>
      <c r="E148">
        <f t="shared" si="115"/>
        <v>2559.8200000000002</v>
      </c>
      <c r="F148">
        <f t="shared" si="116"/>
        <v>1</v>
      </c>
      <c r="G148">
        <f t="shared" si="117"/>
        <v>0</v>
      </c>
      <c r="I148" s="1"/>
      <c r="J148" t="s">
        <v>7</v>
      </c>
    </row>
    <row r="149" spans="1:10" x14ac:dyDescent="0.2">
      <c r="A149">
        <v>17</v>
      </c>
      <c r="B149">
        <v>0</v>
      </c>
      <c r="C149">
        <v>912.33500000000004</v>
      </c>
      <c r="D149">
        <v>0</v>
      </c>
      <c r="E149">
        <f t="shared" si="115"/>
        <v>912.33500000000004</v>
      </c>
      <c r="F149">
        <f t="shared" si="116"/>
        <v>0</v>
      </c>
      <c r="G149">
        <f t="shared" si="117"/>
        <v>1</v>
      </c>
      <c r="H149">
        <f t="shared" ref="H149" si="132">G149-G150</f>
        <v>1</v>
      </c>
      <c r="I149" s="1">
        <f t="shared" ref="I149" si="133">H149/F150</f>
        <v>1</v>
      </c>
      <c r="J149" t="s">
        <v>6</v>
      </c>
    </row>
    <row r="150" spans="1:10" x14ac:dyDescent="0.2">
      <c r="A150">
        <v>18</v>
      </c>
      <c r="B150">
        <v>1091.749</v>
      </c>
      <c r="C150">
        <v>0</v>
      </c>
      <c r="D150">
        <v>0</v>
      </c>
      <c r="E150">
        <f t="shared" si="115"/>
        <v>1091.749</v>
      </c>
      <c r="F150">
        <f t="shared" si="116"/>
        <v>1</v>
      </c>
      <c r="G150">
        <f t="shared" si="117"/>
        <v>0</v>
      </c>
      <c r="I150" s="1"/>
      <c r="J150" t="s">
        <v>7</v>
      </c>
    </row>
    <row r="151" spans="1:10" x14ac:dyDescent="0.2">
      <c r="A151">
        <v>19</v>
      </c>
      <c r="B151">
        <v>961.92</v>
      </c>
      <c r="C151">
        <v>885.13400000000001</v>
      </c>
      <c r="D151">
        <v>0</v>
      </c>
      <c r="E151">
        <f t="shared" si="115"/>
        <v>1847.0540000000001</v>
      </c>
      <c r="F151">
        <f t="shared" si="116"/>
        <v>0.52078607339038274</v>
      </c>
      <c r="G151">
        <f t="shared" si="117"/>
        <v>0.47921392660961726</v>
      </c>
      <c r="H151">
        <f t="shared" ref="H151" si="134">G151-G152</f>
        <v>0.47921392660961726</v>
      </c>
      <c r="I151" s="1">
        <f t="shared" ref="I151" si="135">H151/F152</f>
        <v>0.47921392660961726</v>
      </c>
      <c r="J151" t="s">
        <v>6</v>
      </c>
    </row>
    <row r="152" spans="1:10" x14ac:dyDescent="0.2">
      <c r="A152">
        <v>20</v>
      </c>
      <c r="B152">
        <v>1446.87</v>
      </c>
      <c r="C152">
        <v>0</v>
      </c>
      <c r="D152">
        <v>0</v>
      </c>
      <c r="E152">
        <f t="shared" si="115"/>
        <v>1446.87</v>
      </c>
      <c r="F152">
        <f t="shared" si="116"/>
        <v>1</v>
      </c>
      <c r="G152">
        <f t="shared" si="117"/>
        <v>0</v>
      </c>
      <c r="I152" s="1"/>
      <c r="J152" t="s">
        <v>7</v>
      </c>
    </row>
    <row r="153" spans="1:10" x14ac:dyDescent="0.2">
      <c r="A153">
        <v>21</v>
      </c>
      <c r="B153">
        <v>221.26300000000001</v>
      </c>
      <c r="C153">
        <v>1176.577</v>
      </c>
      <c r="D153">
        <v>0</v>
      </c>
      <c r="E153">
        <f t="shared" si="115"/>
        <v>1397.84</v>
      </c>
      <c r="F153">
        <f t="shared" si="116"/>
        <v>0.15828921765008871</v>
      </c>
      <c r="G153">
        <f t="shared" si="117"/>
        <v>0.84171078234991126</v>
      </c>
      <c r="H153">
        <f t="shared" ref="H153" si="136">G153-G154</f>
        <v>0.62292320026798365</v>
      </c>
      <c r="I153" s="1">
        <f t="shared" ref="I153" si="137">H153/F154</f>
        <v>0.79738005436225812</v>
      </c>
      <c r="J153" t="s">
        <v>6</v>
      </c>
    </row>
    <row r="154" spans="1:10" x14ac:dyDescent="0.2">
      <c r="A154">
        <v>22</v>
      </c>
      <c r="B154">
        <v>1174.4559999999999</v>
      </c>
      <c r="C154">
        <v>328.92</v>
      </c>
      <c r="D154">
        <v>0</v>
      </c>
      <c r="E154">
        <f t="shared" si="115"/>
        <v>1503.376</v>
      </c>
      <c r="F154">
        <f t="shared" si="116"/>
        <v>0.78121241791807239</v>
      </c>
      <c r="G154">
        <f t="shared" si="117"/>
        <v>0.21878758208192761</v>
      </c>
      <c r="I154" s="1"/>
      <c r="J154" t="s">
        <v>7</v>
      </c>
    </row>
    <row r="155" spans="1:10" x14ac:dyDescent="0.2">
      <c r="A155">
        <v>23</v>
      </c>
      <c r="B155">
        <v>4072.6689999999999</v>
      </c>
      <c r="C155">
        <v>0</v>
      </c>
      <c r="D155">
        <v>0</v>
      </c>
      <c r="E155">
        <f t="shared" si="115"/>
        <v>4072.6689999999999</v>
      </c>
      <c r="F155">
        <f t="shared" si="116"/>
        <v>1</v>
      </c>
      <c r="G155">
        <f t="shared" si="117"/>
        <v>0</v>
      </c>
      <c r="H155">
        <f t="shared" ref="H155" si="138">G155-G156</f>
        <v>0</v>
      </c>
      <c r="I155" s="1">
        <f t="shared" ref="I155" si="139">H155/F156</f>
        <v>0</v>
      </c>
      <c r="J155" t="s">
        <v>6</v>
      </c>
    </row>
    <row r="156" spans="1:10" x14ac:dyDescent="0.2">
      <c r="A156">
        <v>24</v>
      </c>
      <c r="B156">
        <v>4353.6689999999999</v>
      </c>
      <c r="C156">
        <v>0</v>
      </c>
      <c r="D156">
        <v>0</v>
      </c>
      <c r="E156">
        <f t="shared" si="115"/>
        <v>4353.6689999999999</v>
      </c>
      <c r="F156">
        <f t="shared" si="116"/>
        <v>1</v>
      </c>
      <c r="G156">
        <f t="shared" si="117"/>
        <v>0</v>
      </c>
      <c r="I156" s="1"/>
      <c r="J156" t="s">
        <v>7</v>
      </c>
    </row>
    <row r="158" spans="1:10" x14ac:dyDescent="0.2">
      <c r="A158" t="s">
        <v>16</v>
      </c>
      <c r="B158" t="s">
        <v>0</v>
      </c>
      <c r="C158" t="s">
        <v>8</v>
      </c>
      <c r="D158" t="s">
        <v>9</v>
      </c>
      <c r="E158" t="s">
        <v>1</v>
      </c>
      <c r="F158" t="s">
        <v>2</v>
      </c>
      <c r="G158" t="s">
        <v>3</v>
      </c>
      <c r="H158" t="s">
        <v>4</v>
      </c>
      <c r="I158" t="s">
        <v>5</v>
      </c>
    </row>
    <row r="159" spans="1:10" x14ac:dyDescent="0.2">
      <c r="A159">
        <v>1</v>
      </c>
      <c r="B159">
        <v>0</v>
      </c>
      <c r="C159">
        <v>3023.154</v>
      </c>
      <c r="D159">
        <v>0</v>
      </c>
      <c r="E159">
        <f>C159+B159</f>
        <v>3023.154</v>
      </c>
      <c r="F159">
        <f>B159/E159</f>
        <v>0</v>
      </c>
      <c r="G159">
        <f>1-F159</f>
        <v>1</v>
      </c>
      <c r="H159">
        <f>G159-G160</f>
        <v>1</v>
      </c>
      <c r="I159" s="1">
        <f>H159/F160</f>
        <v>1</v>
      </c>
      <c r="J159" t="s">
        <v>6</v>
      </c>
    </row>
    <row r="160" spans="1:10" x14ac:dyDescent="0.2">
      <c r="A160">
        <v>2</v>
      </c>
      <c r="B160">
        <v>2153.6480000000001</v>
      </c>
      <c r="C160">
        <v>0</v>
      </c>
      <c r="D160">
        <v>0</v>
      </c>
      <c r="E160">
        <f>C160+B160</f>
        <v>2153.6480000000001</v>
      </c>
      <c r="F160">
        <f>B160/E160</f>
        <v>1</v>
      </c>
      <c r="G160">
        <f>1-F160</f>
        <v>0</v>
      </c>
      <c r="I160" s="1"/>
      <c r="J160" t="s">
        <v>7</v>
      </c>
    </row>
    <row r="161" spans="1:10" x14ac:dyDescent="0.2">
      <c r="A161">
        <v>3</v>
      </c>
      <c r="B161">
        <v>908.04200000000003</v>
      </c>
      <c r="C161">
        <v>840.49699999999996</v>
      </c>
      <c r="D161">
        <v>0</v>
      </c>
      <c r="E161">
        <f t="shared" ref="E161:E182" si="140">C161+B161</f>
        <v>1748.539</v>
      </c>
      <c r="F161">
        <f t="shared" ref="F161:F182" si="141">B161/E161</f>
        <v>0.51931469644085726</v>
      </c>
      <c r="G161">
        <f t="shared" ref="G161:G182" si="142">1-F161</f>
        <v>0.48068530355914274</v>
      </c>
      <c r="H161">
        <f t="shared" ref="H161" si="143">G161-G162</f>
        <v>0.3451566953404418</v>
      </c>
      <c r="I161" s="1">
        <f t="shared" ref="I161" si="144">H161/F162</f>
        <v>0.39926907775308118</v>
      </c>
      <c r="J161" t="s">
        <v>6</v>
      </c>
    </row>
    <row r="162" spans="1:10" x14ac:dyDescent="0.2">
      <c r="A162">
        <v>4</v>
      </c>
      <c r="B162">
        <v>1419.577</v>
      </c>
      <c r="C162">
        <v>222.55600000000001</v>
      </c>
      <c r="D162">
        <v>0</v>
      </c>
      <c r="E162">
        <f t="shared" si="140"/>
        <v>1642.133</v>
      </c>
      <c r="F162">
        <f t="shared" si="141"/>
        <v>0.86447139178129906</v>
      </c>
      <c r="G162">
        <f t="shared" si="142"/>
        <v>0.13552860821870094</v>
      </c>
      <c r="I162" s="1"/>
      <c r="J162" t="s">
        <v>7</v>
      </c>
    </row>
    <row r="163" spans="1:10" x14ac:dyDescent="0.2">
      <c r="A163">
        <v>5</v>
      </c>
      <c r="B163">
        <v>386.79899999999998</v>
      </c>
      <c r="C163">
        <v>0</v>
      </c>
      <c r="D163">
        <v>0</v>
      </c>
      <c r="E163">
        <f t="shared" si="140"/>
        <v>386.79899999999998</v>
      </c>
      <c r="F163">
        <f t="shared" si="141"/>
        <v>1</v>
      </c>
      <c r="G163">
        <f t="shared" si="142"/>
        <v>0</v>
      </c>
      <c r="H163">
        <f t="shared" ref="H163" si="145">G163-G164</f>
        <v>0</v>
      </c>
      <c r="I163" s="1">
        <f t="shared" ref="I163" si="146">H163/F164</f>
        <v>0</v>
      </c>
      <c r="J163" t="s">
        <v>6</v>
      </c>
    </row>
    <row r="164" spans="1:10" x14ac:dyDescent="0.2">
      <c r="A164">
        <v>6</v>
      </c>
      <c r="B164">
        <v>413.50599999999997</v>
      </c>
      <c r="C164">
        <v>0</v>
      </c>
      <c r="D164">
        <v>0</v>
      </c>
      <c r="E164">
        <f t="shared" si="140"/>
        <v>413.50599999999997</v>
      </c>
      <c r="F164">
        <f t="shared" si="141"/>
        <v>1</v>
      </c>
      <c r="G164">
        <f t="shared" si="142"/>
        <v>0</v>
      </c>
      <c r="I164" s="1"/>
      <c r="J164" t="s">
        <v>7</v>
      </c>
    </row>
    <row r="165" spans="1:10" x14ac:dyDescent="0.2">
      <c r="A165">
        <v>7</v>
      </c>
      <c r="B165">
        <v>0</v>
      </c>
      <c r="C165">
        <v>771.33500000000004</v>
      </c>
      <c r="D165">
        <v>0</v>
      </c>
      <c r="E165">
        <f t="shared" si="140"/>
        <v>771.33500000000004</v>
      </c>
      <c r="F165">
        <f t="shared" si="141"/>
        <v>0</v>
      </c>
      <c r="G165">
        <f t="shared" si="142"/>
        <v>1</v>
      </c>
      <c r="H165">
        <f t="shared" ref="H165" si="147">G165-G166</f>
        <v>1</v>
      </c>
      <c r="I165" s="1">
        <f t="shared" ref="I165" si="148">H165/F166</f>
        <v>1</v>
      </c>
      <c r="J165" t="s">
        <v>6</v>
      </c>
    </row>
    <row r="166" spans="1:10" x14ac:dyDescent="0.2">
      <c r="A166">
        <v>8</v>
      </c>
      <c r="B166">
        <v>723.62699999999995</v>
      </c>
      <c r="C166">
        <v>0</v>
      </c>
      <c r="D166">
        <v>0</v>
      </c>
      <c r="E166">
        <f t="shared" si="140"/>
        <v>723.62699999999995</v>
      </c>
      <c r="F166">
        <f t="shared" si="141"/>
        <v>1</v>
      </c>
      <c r="G166">
        <f t="shared" si="142"/>
        <v>0</v>
      </c>
      <c r="I166" s="1"/>
      <c r="J166" t="s">
        <v>7</v>
      </c>
    </row>
    <row r="167" spans="1:10" x14ac:dyDescent="0.2">
      <c r="A167">
        <v>9</v>
      </c>
      <c r="B167">
        <v>2282.77</v>
      </c>
      <c r="C167">
        <v>0</v>
      </c>
      <c r="D167">
        <v>0</v>
      </c>
      <c r="E167">
        <f t="shared" si="140"/>
        <v>2282.77</v>
      </c>
      <c r="F167">
        <f t="shared" si="141"/>
        <v>1</v>
      </c>
      <c r="G167">
        <f t="shared" si="142"/>
        <v>0</v>
      </c>
      <c r="H167">
        <f t="shared" ref="H167" si="149">G167-G168</f>
        <v>0</v>
      </c>
      <c r="I167" s="1">
        <f t="shared" ref="I167" si="150">H167/F168</f>
        <v>0</v>
      </c>
      <c r="J167" t="s">
        <v>6</v>
      </c>
    </row>
    <row r="168" spans="1:10" x14ac:dyDescent="0.2">
      <c r="A168">
        <v>10</v>
      </c>
      <c r="B168">
        <v>2760.4969999999998</v>
      </c>
      <c r="C168">
        <v>0</v>
      </c>
      <c r="D168">
        <v>0</v>
      </c>
      <c r="E168">
        <f t="shared" si="140"/>
        <v>2760.4969999999998</v>
      </c>
      <c r="F168">
        <f t="shared" si="141"/>
        <v>1</v>
      </c>
      <c r="G168">
        <f t="shared" si="142"/>
        <v>0</v>
      </c>
      <c r="I168" s="1"/>
      <c r="J168" t="s">
        <v>7</v>
      </c>
    </row>
    <row r="169" spans="1:10" x14ac:dyDescent="0.2">
      <c r="A169">
        <v>11</v>
      </c>
      <c r="B169">
        <v>0</v>
      </c>
      <c r="C169">
        <v>1624.4059999999999</v>
      </c>
      <c r="D169">
        <v>0</v>
      </c>
      <c r="E169">
        <f t="shared" si="140"/>
        <v>1624.4059999999999</v>
      </c>
      <c r="F169">
        <f t="shared" si="141"/>
        <v>0</v>
      </c>
      <c r="G169">
        <f t="shared" si="142"/>
        <v>1</v>
      </c>
      <c r="H169">
        <f t="shared" ref="H169" si="151">G169-G170</f>
        <v>1</v>
      </c>
      <c r="I169" s="1">
        <f t="shared" ref="I169" si="152">H169/F170</f>
        <v>1</v>
      </c>
      <c r="J169" t="s">
        <v>6</v>
      </c>
    </row>
    <row r="170" spans="1:10" x14ac:dyDescent="0.2">
      <c r="A170">
        <v>12</v>
      </c>
      <c r="B170">
        <v>1626.6980000000001</v>
      </c>
      <c r="C170">
        <v>0</v>
      </c>
      <c r="D170">
        <v>0</v>
      </c>
      <c r="E170">
        <f t="shared" si="140"/>
        <v>1626.6980000000001</v>
      </c>
      <c r="F170">
        <f t="shared" si="141"/>
        <v>1</v>
      </c>
      <c r="G170">
        <f t="shared" si="142"/>
        <v>0</v>
      </c>
      <c r="I170" s="1"/>
      <c r="J170" t="s">
        <v>7</v>
      </c>
    </row>
    <row r="171" spans="1:10" x14ac:dyDescent="0.2">
      <c r="A171">
        <v>13</v>
      </c>
      <c r="B171">
        <v>870.69799999999998</v>
      </c>
      <c r="C171">
        <v>471.21300000000002</v>
      </c>
      <c r="D171">
        <v>0</v>
      </c>
      <c r="E171">
        <f t="shared" si="140"/>
        <v>1341.9110000000001</v>
      </c>
      <c r="F171">
        <f t="shared" si="141"/>
        <v>0.64884929030315719</v>
      </c>
      <c r="G171">
        <f t="shared" si="142"/>
        <v>0.35115070969684281</v>
      </c>
      <c r="H171">
        <f t="shared" ref="H171" si="153">G171-G172</f>
        <v>0.35115070969684281</v>
      </c>
      <c r="I171" s="1">
        <f t="shared" ref="I171" si="154">H171/F172</f>
        <v>0.35115070969684281</v>
      </c>
      <c r="J171" t="s">
        <v>6</v>
      </c>
    </row>
    <row r="172" spans="1:10" x14ac:dyDescent="0.2">
      <c r="A172">
        <v>14</v>
      </c>
      <c r="B172">
        <v>1346.82</v>
      </c>
      <c r="C172">
        <v>0</v>
      </c>
      <c r="D172">
        <v>0</v>
      </c>
      <c r="E172">
        <f t="shared" si="140"/>
        <v>1346.82</v>
      </c>
      <c r="F172">
        <f t="shared" si="141"/>
        <v>1</v>
      </c>
      <c r="G172">
        <f t="shared" si="142"/>
        <v>0</v>
      </c>
      <c r="I172" s="1"/>
      <c r="J172" t="s">
        <v>7</v>
      </c>
    </row>
    <row r="173" spans="1:10" x14ac:dyDescent="0.2">
      <c r="A173">
        <v>15</v>
      </c>
      <c r="B173">
        <v>4018.1840000000002</v>
      </c>
      <c r="C173">
        <v>0</v>
      </c>
      <c r="D173">
        <v>0</v>
      </c>
      <c r="E173">
        <f t="shared" si="140"/>
        <v>4018.1840000000002</v>
      </c>
      <c r="F173">
        <f t="shared" si="141"/>
        <v>1</v>
      </c>
      <c r="G173">
        <f t="shared" si="142"/>
        <v>0</v>
      </c>
      <c r="H173">
        <f t="shared" ref="H173" si="155">G173-G174</f>
        <v>0</v>
      </c>
      <c r="I173" s="1">
        <f t="shared" ref="I173" si="156">H173/F174</f>
        <v>0</v>
      </c>
      <c r="J173" t="s">
        <v>6</v>
      </c>
    </row>
    <row r="174" spans="1:10" x14ac:dyDescent="0.2">
      <c r="A174">
        <v>16</v>
      </c>
      <c r="B174">
        <v>4329.0619999999999</v>
      </c>
      <c r="C174">
        <v>0</v>
      </c>
      <c r="D174">
        <v>0</v>
      </c>
      <c r="E174">
        <f t="shared" si="140"/>
        <v>4329.0619999999999</v>
      </c>
      <c r="F174">
        <f t="shared" si="141"/>
        <v>1</v>
      </c>
      <c r="G174">
        <f t="shared" si="142"/>
        <v>0</v>
      </c>
      <c r="I174" s="1"/>
      <c r="J174" t="s">
        <v>7</v>
      </c>
    </row>
    <row r="175" spans="1:10" x14ac:dyDescent="0.2">
      <c r="A175">
        <v>17</v>
      </c>
      <c r="B175">
        <v>214.971</v>
      </c>
      <c r="C175">
        <v>134.02099999999999</v>
      </c>
      <c r="D175">
        <v>0</v>
      </c>
      <c r="E175">
        <f t="shared" si="140"/>
        <v>348.99199999999996</v>
      </c>
      <c r="F175">
        <f t="shared" si="141"/>
        <v>0.61597687052998362</v>
      </c>
      <c r="G175">
        <f t="shared" si="142"/>
        <v>0.38402312947001638</v>
      </c>
      <c r="H175">
        <f t="shared" ref="H175" si="157">G175-G176</f>
        <v>0.38402312947001638</v>
      </c>
      <c r="I175" s="1">
        <f t="shared" ref="I175" si="158">H175/F176</f>
        <v>0.38402312947001638</v>
      </c>
      <c r="J175" t="s">
        <v>6</v>
      </c>
    </row>
    <row r="176" spans="1:10" x14ac:dyDescent="0.2">
      <c r="A176">
        <v>18</v>
      </c>
      <c r="B176">
        <v>275.678</v>
      </c>
      <c r="C176">
        <v>0</v>
      </c>
      <c r="D176">
        <v>0</v>
      </c>
      <c r="E176">
        <f t="shared" si="140"/>
        <v>275.678</v>
      </c>
      <c r="F176">
        <f t="shared" si="141"/>
        <v>1</v>
      </c>
      <c r="G176">
        <f t="shared" si="142"/>
        <v>0</v>
      </c>
      <c r="I176" s="1"/>
      <c r="J176" t="s">
        <v>7</v>
      </c>
    </row>
    <row r="177" spans="1:10" x14ac:dyDescent="0.2">
      <c r="A177">
        <v>19</v>
      </c>
      <c r="B177">
        <v>0</v>
      </c>
      <c r="C177">
        <v>1603.184</v>
      </c>
      <c r="D177">
        <v>0</v>
      </c>
      <c r="E177">
        <f t="shared" si="140"/>
        <v>1603.184</v>
      </c>
      <c r="F177">
        <f t="shared" si="141"/>
        <v>0</v>
      </c>
      <c r="G177">
        <f t="shared" si="142"/>
        <v>1</v>
      </c>
      <c r="H177">
        <f t="shared" ref="H177" si="159">G177-G178</f>
        <v>0.1197033644456692</v>
      </c>
      <c r="I177" s="1">
        <f t="shared" ref="I177" si="160">H177/F178</f>
        <v>0.99999999999999978</v>
      </c>
      <c r="J177" t="s">
        <v>6</v>
      </c>
    </row>
    <row r="178" spans="1:10" x14ac:dyDescent="0.2">
      <c r="A178">
        <v>20</v>
      </c>
      <c r="B178">
        <v>159.84899999999999</v>
      </c>
      <c r="C178">
        <v>1175.527</v>
      </c>
      <c r="D178">
        <v>0</v>
      </c>
      <c r="E178">
        <f t="shared" si="140"/>
        <v>1335.376</v>
      </c>
      <c r="F178">
        <f t="shared" si="141"/>
        <v>0.11970336444566923</v>
      </c>
      <c r="G178">
        <f t="shared" si="142"/>
        <v>0.8802966355543308</v>
      </c>
      <c r="I178" s="1"/>
      <c r="J178" t="s">
        <v>7</v>
      </c>
    </row>
    <row r="179" spans="1:10" x14ac:dyDescent="0.2">
      <c r="A179">
        <v>21</v>
      </c>
      <c r="B179">
        <v>0</v>
      </c>
      <c r="C179">
        <v>2858.8409999999999</v>
      </c>
      <c r="D179">
        <v>0</v>
      </c>
      <c r="E179">
        <f t="shared" si="140"/>
        <v>2858.8409999999999</v>
      </c>
      <c r="F179">
        <f t="shared" si="141"/>
        <v>0</v>
      </c>
      <c r="G179">
        <f t="shared" si="142"/>
        <v>1</v>
      </c>
      <c r="H179">
        <f t="shared" ref="H179" si="161">G179-G180</f>
        <v>0.73614331471311678</v>
      </c>
      <c r="I179" s="1">
        <f t="shared" ref="I179" si="162">H179/F180</f>
        <v>1</v>
      </c>
      <c r="J179" t="s">
        <v>6</v>
      </c>
    </row>
    <row r="180" spans="1:10" x14ac:dyDescent="0.2">
      <c r="A180">
        <v>22</v>
      </c>
      <c r="B180">
        <v>3119.9409999999998</v>
      </c>
      <c r="C180">
        <v>1118.2840000000001</v>
      </c>
      <c r="D180">
        <v>0</v>
      </c>
      <c r="E180">
        <f t="shared" si="140"/>
        <v>4238.2250000000004</v>
      </c>
      <c r="F180">
        <f t="shared" si="141"/>
        <v>0.73614331471311678</v>
      </c>
      <c r="G180">
        <f t="shared" si="142"/>
        <v>0.26385668528688322</v>
      </c>
      <c r="I180" s="1"/>
      <c r="J180" t="s">
        <v>7</v>
      </c>
    </row>
    <row r="181" spans="1:10" x14ac:dyDescent="0.2">
      <c r="A181">
        <v>23</v>
      </c>
      <c r="B181">
        <v>0</v>
      </c>
      <c r="C181">
        <v>2001.4259999999999</v>
      </c>
      <c r="D181">
        <v>0</v>
      </c>
      <c r="E181">
        <f t="shared" si="140"/>
        <v>2001.4259999999999</v>
      </c>
      <c r="F181">
        <f t="shared" si="141"/>
        <v>0</v>
      </c>
      <c r="G181">
        <f t="shared" si="142"/>
        <v>1</v>
      </c>
      <c r="H181">
        <f t="shared" ref="H181" si="163">G181-G182</f>
        <v>1</v>
      </c>
      <c r="I181" s="1">
        <f t="shared" ref="I181" si="164">H181/F182</f>
        <v>1</v>
      </c>
      <c r="J181" t="s">
        <v>6</v>
      </c>
    </row>
    <row r="182" spans="1:10" x14ac:dyDescent="0.2">
      <c r="A182">
        <v>24</v>
      </c>
      <c r="B182">
        <v>2644.77</v>
      </c>
      <c r="C182">
        <v>0</v>
      </c>
      <c r="D182">
        <v>0</v>
      </c>
      <c r="E182">
        <f t="shared" si="140"/>
        <v>2644.77</v>
      </c>
      <c r="F182">
        <f t="shared" si="141"/>
        <v>1</v>
      </c>
      <c r="G182">
        <f t="shared" si="142"/>
        <v>0</v>
      </c>
      <c r="I182" s="1"/>
      <c r="J182" t="s">
        <v>7</v>
      </c>
    </row>
    <row r="184" spans="1:10" x14ac:dyDescent="0.2">
      <c r="A184" t="s">
        <v>17</v>
      </c>
      <c r="B184" t="s">
        <v>0</v>
      </c>
      <c r="C184" t="s">
        <v>8</v>
      </c>
      <c r="D184" t="s">
        <v>9</v>
      </c>
      <c r="E184" t="s">
        <v>1</v>
      </c>
      <c r="F184" t="s">
        <v>2</v>
      </c>
      <c r="G184" t="s">
        <v>3</v>
      </c>
      <c r="H184" t="s">
        <v>4</v>
      </c>
      <c r="I184" t="s">
        <v>5</v>
      </c>
    </row>
    <row r="185" spans="1:10" x14ac:dyDescent="0.2">
      <c r="A185">
        <v>1</v>
      </c>
      <c r="B185">
        <v>316.79899999999998</v>
      </c>
      <c r="C185">
        <v>0</v>
      </c>
      <c r="D185">
        <v>0</v>
      </c>
      <c r="E185">
        <f>C185+B185</f>
        <v>316.79899999999998</v>
      </c>
      <c r="F185">
        <f>B185/E185</f>
        <v>1</v>
      </c>
      <c r="G185">
        <f>1-F185</f>
        <v>0</v>
      </c>
      <c r="H185">
        <f>G185-G186</f>
        <v>0</v>
      </c>
      <c r="I185" s="1">
        <f>H185/F186</f>
        <v>0</v>
      </c>
      <c r="J185" t="s">
        <v>6</v>
      </c>
    </row>
    <row r="186" spans="1:10" x14ac:dyDescent="0.2">
      <c r="A186">
        <v>2</v>
      </c>
      <c r="B186">
        <v>408.79899999999998</v>
      </c>
      <c r="C186">
        <v>0</v>
      </c>
      <c r="D186">
        <v>0</v>
      </c>
      <c r="E186">
        <f>C186+B186</f>
        <v>408.79899999999998</v>
      </c>
      <c r="F186">
        <f>B186/E186</f>
        <v>1</v>
      </c>
      <c r="G186">
        <f>1-F186</f>
        <v>0</v>
      </c>
      <c r="I186" s="1"/>
      <c r="J186" t="s">
        <v>7</v>
      </c>
    </row>
    <row r="187" spans="1:10" x14ac:dyDescent="0.2">
      <c r="A187">
        <v>3</v>
      </c>
      <c r="B187">
        <v>1712.991</v>
      </c>
      <c r="C187">
        <v>507.45600000000002</v>
      </c>
      <c r="D187">
        <v>0</v>
      </c>
      <c r="E187">
        <f t="shared" ref="E187:E208" si="165">C187+B187</f>
        <v>2220.4470000000001</v>
      </c>
      <c r="F187">
        <f t="shared" ref="F187:F208" si="166">B187/E187</f>
        <v>0.77146223260451607</v>
      </c>
      <c r="G187">
        <f t="shared" ref="G187:G208" si="167">1-F187</f>
        <v>0.22853776739548393</v>
      </c>
      <c r="H187">
        <f t="shared" ref="H187" si="168">G187-G188</f>
        <v>0.22853776739548393</v>
      </c>
      <c r="I187" s="1">
        <f t="shared" ref="I187" si="169">H187/F188</f>
        <v>0.22853776739548393</v>
      </c>
      <c r="J187" t="s">
        <v>6</v>
      </c>
    </row>
    <row r="188" spans="1:10" x14ac:dyDescent="0.2">
      <c r="A188">
        <v>4</v>
      </c>
      <c r="B188">
        <v>2368.355</v>
      </c>
      <c r="C188">
        <v>0</v>
      </c>
      <c r="D188">
        <v>0</v>
      </c>
      <c r="E188">
        <f t="shared" si="165"/>
        <v>2368.355</v>
      </c>
      <c r="F188">
        <f t="shared" si="166"/>
        <v>1</v>
      </c>
      <c r="G188">
        <f t="shared" si="167"/>
        <v>0</v>
      </c>
      <c r="I188" s="1"/>
      <c r="J188" t="s">
        <v>7</v>
      </c>
    </row>
    <row r="189" spans="1:10" x14ac:dyDescent="0.2">
      <c r="A189">
        <v>5</v>
      </c>
      <c r="B189">
        <v>682.62699999999995</v>
      </c>
      <c r="C189">
        <v>484.74900000000002</v>
      </c>
      <c r="D189">
        <v>0</v>
      </c>
      <c r="E189">
        <f t="shared" si="165"/>
        <v>1167.376</v>
      </c>
      <c r="F189">
        <f t="shared" si="166"/>
        <v>0.58475332711996819</v>
      </c>
      <c r="G189">
        <f t="shared" si="167"/>
        <v>0.41524667288003181</v>
      </c>
      <c r="H189">
        <f t="shared" ref="H189" si="170">G189-G190</f>
        <v>0.41524667288003181</v>
      </c>
      <c r="I189" s="1">
        <f t="shared" ref="I189" si="171">H189/F190</f>
        <v>0.41524667288003181</v>
      </c>
      <c r="J189" t="s">
        <v>6</v>
      </c>
    </row>
    <row r="190" spans="1:10" x14ac:dyDescent="0.2">
      <c r="A190">
        <v>6</v>
      </c>
      <c r="B190">
        <v>1126.4059999999999</v>
      </c>
      <c r="C190">
        <v>0</v>
      </c>
      <c r="D190">
        <v>0</v>
      </c>
      <c r="E190">
        <f t="shared" si="165"/>
        <v>1126.4059999999999</v>
      </c>
      <c r="F190">
        <f t="shared" si="166"/>
        <v>1</v>
      </c>
      <c r="G190">
        <f t="shared" si="167"/>
        <v>0</v>
      </c>
      <c r="I190" s="1"/>
      <c r="J190" t="s">
        <v>7</v>
      </c>
    </row>
    <row r="191" spans="1:10" x14ac:dyDescent="0.2">
      <c r="A191">
        <v>7</v>
      </c>
      <c r="B191">
        <v>1670.82</v>
      </c>
      <c r="C191">
        <v>476.04199999999997</v>
      </c>
      <c r="D191">
        <v>0</v>
      </c>
      <c r="E191">
        <f t="shared" si="165"/>
        <v>2146.8620000000001</v>
      </c>
      <c r="F191">
        <f t="shared" si="166"/>
        <v>0.7782614811757812</v>
      </c>
      <c r="G191">
        <f t="shared" si="167"/>
        <v>0.2217385188242188</v>
      </c>
      <c r="H191">
        <f t="shared" ref="H191" si="172">G191-G192</f>
        <v>0.2217385188242188</v>
      </c>
      <c r="I191" s="1">
        <f t="shared" ref="I191" si="173">H191/F192</f>
        <v>0.2217385188242188</v>
      </c>
      <c r="J191" t="s">
        <v>6</v>
      </c>
    </row>
    <row r="192" spans="1:10" x14ac:dyDescent="0.2">
      <c r="A192">
        <v>8</v>
      </c>
      <c r="B192">
        <v>2053.4769999999999</v>
      </c>
      <c r="C192">
        <v>0</v>
      </c>
      <c r="D192">
        <v>0</v>
      </c>
      <c r="E192">
        <f t="shared" si="165"/>
        <v>2053.4769999999999</v>
      </c>
      <c r="F192">
        <f t="shared" si="166"/>
        <v>1</v>
      </c>
      <c r="G192">
        <f t="shared" si="167"/>
        <v>0</v>
      </c>
      <c r="I192" s="1"/>
      <c r="J192" t="s">
        <v>7</v>
      </c>
    </row>
    <row r="193" spans="1:10" x14ac:dyDescent="0.2">
      <c r="A193">
        <v>9</v>
      </c>
      <c r="B193">
        <v>338.21300000000002</v>
      </c>
      <c r="C193">
        <v>0</v>
      </c>
      <c r="D193">
        <v>0</v>
      </c>
      <c r="E193">
        <f t="shared" si="165"/>
        <v>338.21300000000002</v>
      </c>
      <c r="F193">
        <f t="shared" si="166"/>
        <v>1</v>
      </c>
      <c r="G193">
        <f t="shared" si="167"/>
        <v>0</v>
      </c>
      <c r="H193">
        <f t="shared" ref="H193" si="174">G193-G194</f>
        <v>0</v>
      </c>
      <c r="I193" s="1">
        <f t="shared" ref="I193" si="175">H193/F194</f>
        <v>0</v>
      </c>
      <c r="J193" t="s">
        <v>6</v>
      </c>
    </row>
    <row r="194" spans="1:10" x14ac:dyDescent="0.2">
      <c r="A194">
        <v>10</v>
      </c>
      <c r="B194">
        <v>272.678</v>
      </c>
      <c r="C194">
        <v>0</v>
      </c>
      <c r="D194">
        <v>0</v>
      </c>
      <c r="E194">
        <f t="shared" si="165"/>
        <v>272.678</v>
      </c>
      <c r="F194">
        <f t="shared" si="166"/>
        <v>1</v>
      </c>
      <c r="G194">
        <f t="shared" si="167"/>
        <v>0</v>
      </c>
      <c r="I194" s="1"/>
      <c r="J194" t="s">
        <v>7</v>
      </c>
    </row>
    <row r="195" spans="1:10" x14ac:dyDescent="0.2">
      <c r="A195">
        <v>11</v>
      </c>
      <c r="B195">
        <v>1013.749</v>
      </c>
      <c r="C195">
        <v>878.577</v>
      </c>
      <c r="D195">
        <v>0</v>
      </c>
      <c r="E195">
        <f t="shared" si="165"/>
        <v>1892.326</v>
      </c>
      <c r="F195">
        <f t="shared" si="166"/>
        <v>0.53571583331836059</v>
      </c>
      <c r="G195">
        <f t="shared" si="167"/>
        <v>0.46428416668163941</v>
      </c>
      <c r="H195">
        <f t="shared" ref="H195" si="176">G195-G196</f>
        <v>0.46428416668163941</v>
      </c>
      <c r="I195" s="1">
        <f t="shared" ref="I195" si="177">H195/F196</f>
        <v>0.46428416668163941</v>
      </c>
      <c r="J195" t="s">
        <v>6</v>
      </c>
    </row>
    <row r="196" spans="1:10" x14ac:dyDescent="0.2">
      <c r="A196">
        <v>12</v>
      </c>
      <c r="B196">
        <v>1911.527</v>
      </c>
      <c r="C196">
        <v>0</v>
      </c>
      <c r="D196">
        <v>0</v>
      </c>
      <c r="E196">
        <f t="shared" si="165"/>
        <v>1911.527</v>
      </c>
      <c r="F196">
        <f t="shared" si="166"/>
        <v>1</v>
      </c>
      <c r="G196">
        <f t="shared" si="167"/>
        <v>0</v>
      </c>
      <c r="I196" s="1"/>
      <c r="J196" t="s">
        <v>7</v>
      </c>
    </row>
    <row r="197" spans="1:10" x14ac:dyDescent="0.2">
      <c r="A197">
        <v>13</v>
      </c>
      <c r="B197">
        <v>4040.4259999999999</v>
      </c>
      <c r="C197">
        <v>1665.941</v>
      </c>
      <c r="D197">
        <v>0</v>
      </c>
      <c r="E197">
        <f t="shared" si="165"/>
        <v>5706.3670000000002</v>
      </c>
      <c r="F197">
        <f t="shared" si="166"/>
        <v>0.70805575596522263</v>
      </c>
      <c r="G197">
        <f t="shared" si="167"/>
        <v>0.29194424403477737</v>
      </c>
      <c r="H197">
        <f t="shared" ref="H197" si="178">G197-G198</f>
        <v>0.29194424403477737</v>
      </c>
      <c r="I197" s="1">
        <f t="shared" ref="I197" si="179">H197/F198</f>
        <v>0.29194424403477737</v>
      </c>
      <c r="J197" t="s">
        <v>6</v>
      </c>
    </row>
    <row r="198" spans="1:10" x14ac:dyDescent="0.2">
      <c r="A198">
        <v>14</v>
      </c>
      <c r="B198">
        <v>5433.4970000000003</v>
      </c>
      <c r="C198">
        <v>0</v>
      </c>
      <c r="D198">
        <v>0</v>
      </c>
      <c r="E198">
        <f t="shared" si="165"/>
        <v>5433.4970000000003</v>
      </c>
      <c r="F198">
        <f t="shared" si="166"/>
        <v>1</v>
      </c>
      <c r="G198">
        <f t="shared" si="167"/>
        <v>0</v>
      </c>
      <c r="I198" s="1"/>
      <c r="J198" t="s">
        <v>7</v>
      </c>
    </row>
    <row r="199" spans="1:10" x14ac:dyDescent="0.2">
      <c r="A199">
        <v>15</v>
      </c>
      <c r="B199">
        <v>281.38499999999999</v>
      </c>
      <c r="C199">
        <v>0</v>
      </c>
      <c r="D199">
        <v>0</v>
      </c>
      <c r="E199">
        <f t="shared" si="165"/>
        <v>281.38499999999999</v>
      </c>
      <c r="F199">
        <f t="shared" si="166"/>
        <v>1</v>
      </c>
      <c r="G199">
        <f t="shared" si="167"/>
        <v>0</v>
      </c>
      <c r="H199">
        <f t="shared" ref="H199" si="180">G199-G200</f>
        <v>0</v>
      </c>
      <c r="I199" s="1">
        <f t="shared" ref="I199" si="181">H199/F200</f>
        <v>0</v>
      </c>
      <c r="J199" t="s">
        <v>6</v>
      </c>
    </row>
    <row r="200" spans="1:10" x14ac:dyDescent="0.2">
      <c r="A200">
        <v>16</v>
      </c>
      <c r="B200">
        <v>288.971</v>
      </c>
      <c r="C200">
        <v>0</v>
      </c>
      <c r="D200">
        <v>0</v>
      </c>
      <c r="E200">
        <f t="shared" si="165"/>
        <v>288.971</v>
      </c>
      <c r="F200">
        <f t="shared" si="166"/>
        <v>1</v>
      </c>
      <c r="G200">
        <f t="shared" si="167"/>
        <v>0</v>
      </c>
      <c r="I200" s="1"/>
      <c r="J200" t="s">
        <v>7</v>
      </c>
    </row>
    <row r="201" spans="1:10" x14ac:dyDescent="0.2">
      <c r="A201">
        <v>17</v>
      </c>
      <c r="B201">
        <v>0</v>
      </c>
      <c r="C201">
        <v>0</v>
      </c>
      <c r="D201">
        <v>0</v>
      </c>
      <c r="E201">
        <f t="shared" si="165"/>
        <v>0</v>
      </c>
      <c r="F201" t="e">
        <f t="shared" si="166"/>
        <v>#DIV/0!</v>
      </c>
      <c r="G201" t="e">
        <f t="shared" si="167"/>
        <v>#DIV/0!</v>
      </c>
      <c r="H201" t="e">
        <f t="shared" ref="H201" si="182">G201-G202</f>
        <v>#DIV/0!</v>
      </c>
      <c r="I201" s="1">
        <v>0</v>
      </c>
      <c r="J201" t="s">
        <v>6</v>
      </c>
    </row>
    <row r="202" spans="1:10" x14ac:dyDescent="0.2">
      <c r="A202">
        <v>18</v>
      </c>
      <c r="B202">
        <v>0</v>
      </c>
      <c r="C202">
        <v>0</v>
      </c>
      <c r="D202">
        <v>0</v>
      </c>
      <c r="E202">
        <f t="shared" si="165"/>
        <v>0</v>
      </c>
      <c r="F202" t="e">
        <f t="shared" si="166"/>
        <v>#DIV/0!</v>
      </c>
      <c r="G202" t="e">
        <f t="shared" si="167"/>
        <v>#DIV/0!</v>
      </c>
      <c r="I202" s="1"/>
      <c r="J202" t="s">
        <v>7</v>
      </c>
    </row>
    <row r="203" spans="1:10" x14ac:dyDescent="0.2">
      <c r="A203">
        <v>19</v>
      </c>
      <c r="B203">
        <v>0</v>
      </c>
      <c r="C203">
        <v>1322.1130000000001</v>
      </c>
      <c r="D203">
        <v>0</v>
      </c>
      <c r="E203">
        <f t="shared" si="165"/>
        <v>1322.1130000000001</v>
      </c>
      <c r="F203">
        <f t="shared" si="166"/>
        <v>0</v>
      </c>
      <c r="G203">
        <f t="shared" si="167"/>
        <v>1</v>
      </c>
      <c r="H203">
        <f t="shared" ref="H203" si="183">G203-G204</f>
        <v>1</v>
      </c>
      <c r="I203" s="1">
        <f t="shared" ref="I203" si="184">H203/F204</f>
        <v>1</v>
      </c>
      <c r="J203" t="s">
        <v>6</v>
      </c>
    </row>
    <row r="204" spans="1:10" x14ac:dyDescent="0.2">
      <c r="A204">
        <v>20</v>
      </c>
      <c r="B204">
        <v>1364.577</v>
      </c>
      <c r="C204">
        <v>0</v>
      </c>
      <c r="D204">
        <v>0</v>
      </c>
      <c r="E204">
        <f t="shared" si="165"/>
        <v>1364.577</v>
      </c>
      <c r="F204">
        <f t="shared" si="166"/>
        <v>1</v>
      </c>
      <c r="G204">
        <f t="shared" si="167"/>
        <v>0</v>
      </c>
      <c r="I204" s="1"/>
      <c r="J204" t="s">
        <v>7</v>
      </c>
    </row>
    <row r="205" spans="1:10" x14ac:dyDescent="0.2">
      <c r="A205">
        <v>21</v>
      </c>
      <c r="B205">
        <v>0</v>
      </c>
      <c r="C205">
        <v>158.142</v>
      </c>
      <c r="D205">
        <v>0</v>
      </c>
      <c r="E205">
        <f t="shared" si="165"/>
        <v>158.142</v>
      </c>
      <c r="F205">
        <f t="shared" si="166"/>
        <v>0</v>
      </c>
      <c r="G205">
        <f t="shared" si="167"/>
        <v>1</v>
      </c>
      <c r="H205">
        <f t="shared" ref="H205" si="185">G205-G206</f>
        <v>1</v>
      </c>
      <c r="I205" s="1">
        <f t="shared" ref="I205" si="186">H205/F206</f>
        <v>1</v>
      </c>
      <c r="J205" t="s">
        <v>6</v>
      </c>
    </row>
    <row r="206" spans="1:10" x14ac:dyDescent="0.2">
      <c r="A206">
        <v>22</v>
      </c>
      <c r="B206">
        <v>420.04199999999997</v>
      </c>
      <c r="C206">
        <v>0</v>
      </c>
      <c r="D206">
        <v>0</v>
      </c>
      <c r="E206">
        <f t="shared" si="165"/>
        <v>420.04199999999997</v>
      </c>
      <c r="F206">
        <f t="shared" si="166"/>
        <v>1</v>
      </c>
      <c r="G206">
        <f t="shared" si="167"/>
        <v>0</v>
      </c>
      <c r="I206" s="1"/>
      <c r="J206" t="s">
        <v>7</v>
      </c>
    </row>
    <row r="207" spans="1:10" x14ac:dyDescent="0.2">
      <c r="A207">
        <v>23</v>
      </c>
      <c r="B207">
        <v>0</v>
      </c>
      <c r="C207">
        <v>1553.1130000000001</v>
      </c>
      <c r="D207">
        <v>0</v>
      </c>
      <c r="E207">
        <f t="shared" si="165"/>
        <v>1553.1130000000001</v>
      </c>
      <c r="F207">
        <f t="shared" si="166"/>
        <v>0</v>
      </c>
      <c r="G207">
        <f t="shared" si="167"/>
        <v>1</v>
      </c>
      <c r="H207">
        <f t="shared" ref="H207" si="187">G207-G208</f>
        <v>1</v>
      </c>
      <c r="I207" s="1">
        <f t="shared" ref="I207" si="188">H207/F208</f>
        <v>1</v>
      </c>
      <c r="J207" t="s">
        <v>6</v>
      </c>
    </row>
    <row r="208" spans="1:10" x14ac:dyDescent="0.2">
      <c r="A208">
        <v>24</v>
      </c>
      <c r="B208">
        <v>826.40599999999995</v>
      </c>
      <c r="C208">
        <v>0</v>
      </c>
      <c r="D208">
        <v>0</v>
      </c>
      <c r="E208">
        <f t="shared" si="165"/>
        <v>826.40599999999995</v>
      </c>
      <c r="F208">
        <f t="shared" si="166"/>
        <v>1</v>
      </c>
      <c r="G208">
        <f t="shared" si="167"/>
        <v>0</v>
      </c>
      <c r="I208" s="1"/>
      <c r="J20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18h_quantification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2025-11-24T05:48:01Z</dcterms:created>
  <dcterms:modified xsi:type="dcterms:W3CDTF">2026-03-10T21:58:08Z</dcterms:modified>
</cp:coreProperties>
</file>